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Qualifying Salary" sheetId="1" state="visible" r:id="rId3"/>
    <sheet name="Chart 1" sheetId="2" state="visible" r:id="rId4"/>
    <sheet name="Applicant Details (2)" sheetId="3" state="visible" r:id="rId5"/>
    <sheet name="Applicant Details" sheetId="4" state="visible" r:id="rId6"/>
    <sheet name="Filtered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<sst xmlns="http://schemas.openxmlformats.org/spreadsheetml/2006/main" count="244" uniqueCount="82">
  <si>
    <t xml:space="preserve">Qualifying Salary</t>
  </si>
  <si>
    <t xml:space="preserve">Area</t>
  </si>
  <si>
    <t xml:space="preserve">Cost</t>
  </si>
  <si>
    <t xml:space="preserve">FHD</t>
  </si>
  <si>
    <t xml:space="preserve">HHD</t>
  </si>
  <si>
    <t xml:space="preserve">LPH</t>
  </si>
  <si>
    <t xml:space="preserve">First Name</t>
  </si>
  <si>
    <t xml:space="preserve">Last Name</t>
  </si>
  <si>
    <t xml:space="preserve">Housing Community</t>
  </si>
  <si>
    <t xml:space="preserve">Basic Salary</t>
  </si>
  <si>
    <t xml:space="preserve">Bonuses &amp; allowances</t>
  </si>
  <si>
    <t xml:space="preserve">Salary Deduction</t>
  </si>
  <si>
    <t xml:space="preserve">Gross Salary</t>
  </si>
  <si>
    <t xml:space="preserve">Net Income</t>
  </si>
  <si>
    <t xml:space="preserve">Qualifying Status</t>
  </si>
  <si>
    <t xml:space="preserve">Bank Loan Amount</t>
  </si>
  <si>
    <t xml:space="preserve">Bank Repayment Amount</t>
  </si>
  <si>
    <t xml:space="preserve">Credit Card Loan Amount</t>
  </si>
  <si>
    <t xml:space="preserve">Credit Card Repayment Amount</t>
  </si>
  <si>
    <t xml:space="preserve">Credit Union Loans</t>
  </si>
  <si>
    <t xml:space="preserve">Total Loan Payments</t>
  </si>
  <si>
    <t xml:space="preserve">Balance</t>
  </si>
  <si>
    <t xml:space="preserve">Approval Status</t>
  </si>
  <si>
    <t xml:space="preserve">James</t>
  </si>
  <si>
    <t xml:space="preserve">Moses</t>
  </si>
  <si>
    <t xml:space="preserve">Sally</t>
  </si>
  <si>
    <t xml:space="preserve">Riverwater</t>
  </si>
  <si>
    <t xml:space="preserve">Bart</t>
  </si>
  <si>
    <t xml:space="preserve">Politik</t>
  </si>
  <si>
    <t xml:space="preserve">Dave</t>
  </si>
  <si>
    <t xml:space="preserve">Johannes</t>
  </si>
  <si>
    <t xml:space="preserve">May</t>
  </si>
  <si>
    <t xml:space="preserve">Molior</t>
  </si>
  <si>
    <t xml:space="preserve">Kim</t>
  </si>
  <si>
    <t xml:space="preserve">Flakeson</t>
  </si>
  <si>
    <t xml:space="preserve">Mark</t>
  </si>
  <si>
    <t xml:space="preserve">Davis</t>
  </si>
  <si>
    <t xml:space="preserve">Leroy</t>
  </si>
  <si>
    <t xml:space="preserve">Ham</t>
  </si>
  <si>
    <t xml:space="preserve">Terry</t>
  </si>
  <si>
    <t xml:space="preserve">Thompson</t>
  </si>
  <si>
    <t xml:space="preserve">Buios</t>
  </si>
  <si>
    <t xml:space="preserve">jone</t>
  </si>
  <si>
    <t xml:space="preserve">Sue</t>
  </si>
  <si>
    <t xml:space="preserve">Jues</t>
  </si>
  <si>
    <t xml:space="preserve">Berry</t>
  </si>
  <si>
    <t xml:space="preserve">Mjar</t>
  </si>
  <si>
    <t xml:space="preserve">June</t>
  </si>
  <si>
    <t xml:space="preserve">Lokus</t>
  </si>
  <si>
    <t xml:space="preserve">Karl</t>
  </si>
  <si>
    <t xml:space="preserve">Yam</t>
  </si>
  <si>
    <t xml:space="preserve">Ron</t>
  </si>
  <si>
    <t xml:space="preserve">Pickle</t>
  </si>
  <si>
    <t xml:space="preserve">Jue</t>
  </si>
  <si>
    <t xml:space="preserve">Jack</t>
  </si>
  <si>
    <t xml:space="preserve">Troy</t>
  </si>
  <si>
    <t xml:space="preserve">Reddoe</t>
  </si>
  <si>
    <t xml:space="preserve">John</t>
  </si>
  <si>
    <t xml:space="preserve">Jones</t>
  </si>
  <si>
    <t xml:space="preserve">Simpson</t>
  </si>
  <si>
    <t xml:space="preserve">Kattaraks</t>
  </si>
  <si>
    <t xml:space="preserve">Daquavis</t>
  </si>
  <si>
    <t xml:space="preserve">The third</t>
  </si>
  <si>
    <t xml:space="preserve">Roy</t>
  </si>
  <si>
    <t xml:space="preserve">Parlimentos</t>
  </si>
  <si>
    <t xml:space="preserve">Holly</t>
  </si>
  <si>
    <t xml:space="preserve">Korn</t>
  </si>
  <si>
    <t xml:space="preserve">Eugene</t>
  </si>
  <si>
    <t xml:space="preserve">Marge</t>
  </si>
  <si>
    <t xml:space="preserve">Jon</t>
  </si>
  <si>
    <t xml:space="preserve">Jam</t>
  </si>
  <si>
    <t xml:space="preserve">Bamboo</t>
  </si>
  <si>
    <t xml:space="preserve">Namand</t>
  </si>
  <si>
    <t xml:space="preserve">Bambi</t>
  </si>
  <si>
    <t xml:space="preserve">Bartes</t>
  </si>
  <si>
    <t xml:space="preserve">Jenny</t>
  </si>
  <si>
    <t xml:space="preserve">Hebres</t>
  </si>
  <si>
    <t xml:space="preserve">Jerry</t>
  </si>
  <si>
    <t xml:space="preserve">Bobbi</t>
  </si>
  <si>
    <t xml:space="preserve">Jamie</t>
  </si>
  <si>
    <t xml:space="preserve">Janee</t>
  </si>
  <si>
    <t xml:space="preserve"> Credit union loans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</si>
</sst>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_(\$* #,##0.00_);_(\$* \(#,##0.00\);_(\$* \-??_);_(@_)"/>
    <numFmt numFmtId="166" formatCode="\$#,##0.00_);[RED]&quot;($&quot;#,##0.00\)"/>
    <numFmt numFmtId="167" formatCode="0%"/>
    <numFmt numFmtId="168" formatCode="#,##0.00&quot; €&quot;"/>
    <numFmt numFmtId="169" formatCode="#,##0.00&quot; €&quot;;[RED]\-#,##0.00&quot; €&quot;"/>
  </numFmts>
  <fonts count="9">
    <font>
      <sz val="11"/>
      <color theme="1"/>
      <name val="Calibri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</font>
    <font>
      <b val="true"/>
      <sz val="18"/>
      <color rgb="FF404040"/>
      <name val="Calibri"/>
      <family val="2"/>
    </font>
    <font>
      <b val="true"/>
      <sz val="9"/>
      <color rgb="FFFFFFFF"/>
      <name val="Calibri"/>
      <family val="2"/>
    </font>
    <font>
      <sz val="9"/>
      <color rgb="FF404040"/>
      <name val="Calibri"/>
      <family val="2"/>
    </font>
    <font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3999"/>
        <bgColor rgb="FFFF99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42" fontId="1" fillId="0" borderId="0" applyFont="true" applyBorder="false" applyAlignment="false" applyProtection="false"/>
    <xf numFmtId="167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0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0" fillId="0" borderId="0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F4B183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B8B8B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4B183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404040"/>
                </a:solidFill>
                <a:latin typeface="Calibri"/>
              </a:defRPr>
            </a:pPr>
            <a:r>
              <a:rPr b="1" sz="1800" spc="-1" strike="noStrike">
                <a:solidFill>
                  <a:srgbClr val="404040"/>
                </a:solidFill>
                <a:latin typeface="Calibri"/>
              </a:rPr>
              <a:t>Chart Title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4472c4">
                <a:alpha val="85000"/>
              </a:srgbClr>
            </a:solidFill>
            <a:ln w="9360">
              <a:solidFill>
                <a:srgbClr val="ffffff">
                  <a:alpha val="50000"/>
                </a:srgbClr>
              </a:solidFill>
              <a:round/>
            </a:ln>
          </c:spPr>
          <c:invertIfNegative val="0"/>
          <c:dLbls>
            <c:numFmt formatCode="_(\$* #,##0.00_);_(\$* \(#,##0.00\);_(\$* \-??_);_(@_)" sourceLinked="1"/>
            <c:txPr>
              <a:bodyPr wrap="square"/>
              <a:lstStyle/>
              <a:p>
                <a:pPr>
                  <a:defRPr b="1" sz="900" spc="-1" strike="noStrike">
                    <a:solidFill>
                      <a:srgbClr val="ffffff"/>
                    </a:solidFill>
                    <a:latin typeface="Calibri"/>
                  </a:defRPr>
                </a:pPr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'Applicant Details'!$E$35:$E$37</c:f>
              <c:numCache>
                <c:formatCode>_(\$* #,##0.00_);_(\$* \(#,##0.00\);_(\$* \-??_);_(@_)</c:formatCode>
                <c:ptCount val="3"/>
                <c:pt idx="0">
                  <c:v>80948769.275</c:v>
                </c:pt>
                <c:pt idx="1">
                  <c:v>132627435.55</c:v>
                </c:pt>
                <c:pt idx="2">
                  <c:v>127148997.775</c:v>
                </c:pt>
              </c:numCache>
            </c:numRef>
          </c:val>
        </c:ser>
        <c:gapWidth val="65"/>
        <c:overlap val="0"/>
        <c:axId val="21710385"/>
        <c:axId val="25334646"/>
      </c:barChart>
      <c:catAx>
        <c:axId val="2171038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19080">
            <a:solidFill>
              <a:srgbClr val="404040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404040"/>
                </a:solidFill>
                <a:latin typeface="Calibri"/>
              </a:defRPr>
            </a:pPr>
          </a:p>
        </c:txPr>
        <c:crossAx val="25334646"/>
        <c:crosses val="autoZero"/>
        <c:auto val="1"/>
        <c:lblAlgn val="ctr"/>
        <c:lblOffset val="100"/>
        <c:noMultiLvlLbl val="0"/>
      </c:catAx>
      <c:valAx>
        <c:axId val="25334646"/>
        <c:scaling>
          <c:orientation val="minMax"/>
        </c:scaling>
        <c:delete val="1"/>
        <c:axPos val="l"/>
        <c:majorGridlines>
          <c:spPr>
            <a:ln w="9360">
              <a:solidFill>
                <a:srgbClr val="bfbfbf">
                  <a:alpha val="36000"/>
                </a:srgbClr>
              </a:solidFill>
              <a:round/>
            </a:ln>
          </c:spPr>
        </c:majorGridlines>
        <c:numFmt formatCode="_(\$* #,##0.00_);_(\$* \(#,##0.00\);_(\$* \-??_);_(@_)" sourceLinked="1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1710385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gradFill>
      <a:gsLst>
        <a:gs pos="0">
          <a:srgbClr val="ffffff"/>
        </a:gs>
        <a:gs pos="39000">
          <a:srgbClr val="ffffff"/>
        </a:gs>
        <a:gs pos="100000">
          <a:srgbClr val="bfbfbf"/>
        </a:gs>
      </a:gsLst>
      <a:path path="circle">
        <a:fillToRect l="50000" t="0" r="50000" b="100000"/>
      </a:path>
    </a:gradFill>
    <a:ln w="9360">
      <a:solidFill>
        <a:srgbClr val="bfbfbf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12</xdr:col>
      <xdr:colOff>498600</xdr:colOff>
      <xdr:row>35</xdr:row>
      <xdr:rowOff>156960</xdr:rowOff>
    </xdr:to>
    <xdr:graphicFrame>
      <xdr:nvGraphicFramePr>
        <xdr:cNvPr id="0" name="Chart 1"/>
        <xdr:cNvGraphicFramePr/>
      </xdr:nvGraphicFramePr>
      <xdr:xfrm>
        <a:off x="0" y="0"/>
        <a:ext cx="8659800" cy="62910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able4" displayName="Table4" ref="A2:B5" headerRowCount="1" totalsRowCount="0" totalsRowShown="0">
  <autoFilter ref="A2:B5"/>
  <tableColumns count="2">
    <tableColumn id="1" name="Area"/>
    <tableColumn id="2" name="Cost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B2" activeCellId="0" sqref="B2"/>
    </sheetView>
  </sheetViews>
  <sheetFormatPr defaultColWidth="8.59765625" defaultRowHeight="12.8" zeroHeight="false" outlineLevelRow="0" outlineLevelCol="0"/>
  <cols>
    <col collapsed="false" customWidth="true" hidden="false" outlineLevel="0" max="2" min="2" style="0" width="30.71"/>
  </cols>
  <sheetData>
    <row r="1" customFormat="false" ht="13.8" hidden="false" customHeight="false" outlineLevel="0" collapsed="false">
      <c r="A1" s="1" t="s">
        <v>0</v>
      </c>
      <c r="B1" s="1"/>
    </row>
    <row r="2" customFormat="false" ht="13.8" hidden="false" customHeight="false" outlineLevel="0" collapsed="false">
      <c r="A2" s="2" t="s">
        <v>1</v>
      </c>
      <c r="B2" s="2" t="s">
        <v>2</v>
      </c>
    </row>
    <row r="3" customFormat="false" ht="13.8" hidden="false" customHeight="false" outlineLevel="0" collapsed="false">
      <c r="A3" s="3" t="s">
        <v>3</v>
      </c>
      <c r="B3" s="4" t="n">
        <v>350000</v>
      </c>
    </row>
    <row r="4" customFormat="false" ht="13.8" hidden="false" customHeight="false" outlineLevel="0" collapsed="false">
      <c r="A4" s="3" t="s">
        <v>4</v>
      </c>
      <c r="B4" s="4" t="n">
        <v>300000</v>
      </c>
    </row>
    <row r="5" customFormat="false" ht="13.8" hidden="false" customHeight="false" outlineLevel="0" collapsed="false">
      <c r="A5" s="3" t="s">
        <v>5</v>
      </c>
      <c r="B5" s="4" t="n">
        <v>250000</v>
      </c>
    </row>
  </sheetData>
  <mergeCells count="1">
    <mergeCell ref="A1:B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8.50390625" defaultRowHeight="12.8" zeroHeight="false" outlineLevelRow="0" outlineLevelCol="0"/>
  <sheetData>
    <row r="1" customFormat="false" ht="13.8" hidden="false" customHeight="false" outlineLevel="0" collapsed="false"/>
    <row r="2" customFormat="false" ht="13.8" hidden="false" customHeight="false" outlineLevel="0" collapsed="false"/>
    <row r="3" customFormat="false" ht="13.8" hidden="false" customHeight="false" outlineLevel="0" collapsed="false"/>
    <row r="4" customFormat="false" ht="13.8" hidden="false" customHeight="false" outlineLevel="0" collapsed="false"/>
    <row r="5" customFormat="false" ht="13.8" hidden="false" customHeight="false" outlineLevel="0" collapsed="false"/>
    <row r="6" customFormat="false" ht="13.8" hidden="false" customHeight="false" outlineLevel="0" collapsed="false"/>
    <row r="7" customFormat="false" ht="13.8" hidden="false" customHeight="false" outlineLevel="0" collapsed="false"/>
    <row r="8" customFormat="false" ht="13.8" hidden="false" customHeight="false" outlineLevel="0" collapsed="false"/>
    <row r="9" customFormat="false" ht="13.8" hidden="false" customHeight="false" outlineLevel="0" collapsed="false"/>
    <row r="10" customFormat="false" ht="13.8" hidden="false" customHeight="false" outlineLevel="0" collapsed="false"/>
    <row r="11" customFormat="false" ht="13.8" hidden="false" customHeight="false" outlineLevel="0" collapsed="false"/>
    <row r="12" customFormat="false" ht="13.8" hidden="false" customHeight="false" outlineLevel="0" collapsed="false"/>
    <row r="13" customFormat="false" ht="13.8" hidden="false" customHeight="false" outlineLevel="0" collapsed="false"/>
    <row r="14" customFormat="false" ht="13.8" hidden="false" customHeight="false" outlineLevel="0" collapsed="false"/>
    <row r="15" customFormat="false" ht="13.8" hidden="false" customHeight="false" outlineLevel="0" collapsed="false"/>
    <row r="16" customFormat="false" ht="13.8" hidden="false" customHeight="false" outlineLevel="0" collapsed="false"/>
    <row r="17" customFormat="false" ht="13.8" hidden="false" customHeight="false" outlineLevel="0" collapsed="false"/>
    <row r="18" customFormat="false" ht="13.8" hidden="false" customHeight="false" outlineLevel="0" collapsed="false"/>
    <row r="19" customFormat="false" ht="13.8" hidden="false" customHeight="false" outlineLevel="0" collapsed="false"/>
    <row r="20" customFormat="false" ht="13.8" hidden="false" customHeight="false" outlineLevel="0" collapsed="false"/>
    <row r="21" customFormat="false" ht="13.8" hidden="false" customHeight="false" outlineLevel="0" collapsed="false"/>
    <row r="22" customFormat="false" ht="13.8" hidden="false" customHeight="false" outlineLevel="0" collapsed="false"/>
    <row r="23" customFormat="false" ht="13.8" hidden="false" customHeight="false" outlineLevel="0" collapsed="false"/>
    <row r="24" customFormat="false" ht="13.8" hidden="false" customHeight="false" outlineLevel="0" collapsed="false"/>
    <row r="25" customFormat="false" ht="13.8" hidden="false" customHeight="false" outlineLevel="0" collapsed="false"/>
    <row r="26" customFormat="false" ht="13.8" hidden="false" customHeight="false" outlineLevel="0" collapsed="false"/>
    <row r="27" customFormat="false" ht="13.8" hidden="false" customHeight="false" outlineLevel="0" collapsed="false"/>
    <row r="28" customFormat="false" ht="13.8" hidden="false" customHeight="false" outlineLevel="0" collapsed="false"/>
    <row r="29" customFormat="false" ht="13.8" hidden="false" customHeight="false" outlineLevel="0" collapsed="false"/>
    <row r="30" customFormat="false" ht="13.8" hidden="false" customHeight="false" outlineLevel="0" collapsed="false"/>
    <row r="31" customFormat="false" ht="13.8" hidden="false" customHeight="false" outlineLevel="0" collapsed="false"/>
    <row r="32" customFormat="false" ht="13.8" hidden="false" customHeight="false" outlineLevel="0" collapsed="false"/>
    <row r="33" customFormat="false" ht="13.8" hidden="false" customHeight="false" outlineLevel="0" collapsed="false"/>
    <row r="34" customFormat="false" ht="13.8" hidden="false" customHeight="false" outlineLevel="0" collapsed="false"/>
    <row r="35" customFormat="false" ht="13.8" hidden="false" customHeight="false" outlineLevel="0" collapsed="false"/>
    <row r="36" customFormat="false" ht="13.8" hidden="false" customHeight="false" outlineLevel="0" collapsed="false"/>
    <row r="37" customFormat="false" ht="13.8" hidden="false" customHeight="false" outlineLevel="0" collapsed="false"/>
    <row r="38" customFormat="false" ht="13.8" hidden="false" customHeight="false" outlineLevel="0" collapsed="false"/>
    <row r="39" customFormat="false" ht="13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75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4B183"/>
    <pageSetUpPr fitToPage="false"/>
  </sheetPr>
  <dimension ref="A1:R36"/>
  <sheetViews>
    <sheetView showFormulas="false" showGridLines="true" showRowColHeaders="true" showZeros="true" rightToLeft="false" tabSelected="true" showOutlineSymbols="true" defaultGridColor="true" view="normal" topLeftCell="L1" colorId="64" zoomScale="85" zoomScaleNormal="85" zoomScalePageLayoutView="100" workbookViewId="0">
      <selection pane="topLeft" activeCell="N2" activeCellId="0" sqref="N2"/>
    </sheetView>
  </sheetViews>
  <sheetFormatPr defaultColWidth="8.59765625" defaultRowHeight="12.8" zeroHeight="false" outlineLevelRow="0" outlineLevelCol="0"/>
  <cols>
    <col collapsed="false" customWidth="true" hidden="false" outlineLevel="0" max="1" min="1" style="0" width="10.57"/>
    <col collapsed="false" customWidth="true" hidden="false" outlineLevel="0" max="2" min="2" style="0" width="11.72"/>
    <col collapsed="false" customWidth="true" hidden="false" outlineLevel="0" max="3" min="3" style="0" width="16.29"/>
    <col collapsed="false" customWidth="true" hidden="false" outlineLevel="0" max="4" min="4" style="0" width="20.86"/>
    <col collapsed="false" customWidth="true" hidden="false" outlineLevel="0" max="5" min="5" style="0" width="21"/>
    <col collapsed="false" customWidth="true" hidden="false" outlineLevel="0" max="6" min="6" style="0" width="15.28"/>
    <col collapsed="false" customWidth="true" hidden="false" outlineLevel="0" max="7" min="7" style="0" width="20"/>
    <col collapsed="false" customWidth="true" hidden="false" outlineLevel="0" max="8" min="8" style="0" width="16.72"/>
    <col collapsed="false" customWidth="true" hidden="false" outlineLevel="0" max="9" min="9" style="0" width="17"/>
    <col collapsed="false" customWidth="true" hidden="false" outlineLevel="0" max="10" min="10" style="0" width="18.43"/>
    <col collapsed="false" customWidth="true" hidden="false" outlineLevel="0" max="11" min="11" style="0" width="24.57"/>
    <col collapsed="false" customWidth="true" hidden="false" outlineLevel="0" max="12" min="12" style="0" width="24"/>
    <col collapsed="false" customWidth="true" hidden="false" outlineLevel="0" max="13" min="13" style="0" width="30.29"/>
    <col collapsed="false" customWidth="true" hidden="false" outlineLevel="0" max="14" min="14" style="0" width="19"/>
    <col collapsed="false" customWidth="true" hidden="false" outlineLevel="0" max="15" min="15" style="0" width="20.29"/>
    <col collapsed="false" customWidth="true" hidden="false" outlineLevel="0" max="16" min="16" style="0" width="20.34"/>
    <col collapsed="false" customWidth="true" hidden="false" outlineLevel="0" max="18" min="17" style="0" width="15.74"/>
  </cols>
  <sheetData>
    <row r="1" customFormat="false" ht="13.8" hidden="false" customHeight="false" outlineLevel="0" collapsed="false">
      <c r="A1" s="5" t="s">
        <v>6</v>
      </c>
      <c r="B1" s="5" t="s">
        <v>7</v>
      </c>
      <c r="C1" s="5" t="s">
        <v>8</v>
      </c>
      <c r="D1" s="5" t="s">
        <v>9</v>
      </c>
      <c r="E1" s="5" t="s">
        <v>10</v>
      </c>
      <c r="F1" s="5" t="s">
        <v>11</v>
      </c>
      <c r="G1" s="5" t="s">
        <v>12</v>
      </c>
      <c r="H1" s="5" t="s">
        <v>13</v>
      </c>
      <c r="I1" s="5" t="s">
        <v>0</v>
      </c>
      <c r="J1" s="5" t="s">
        <v>14</v>
      </c>
      <c r="K1" s="5" t="s">
        <v>15</v>
      </c>
      <c r="L1" s="5" t="s">
        <v>16</v>
      </c>
      <c r="M1" s="5" t="s">
        <v>17</v>
      </c>
      <c r="N1" s="5" t="s">
        <v>18</v>
      </c>
      <c r="O1" s="5" t="s">
        <v>19</v>
      </c>
      <c r="P1" s="5" t="s">
        <v>20</v>
      </c>
      <c r="Q1" s="5" t="s">
        <v>21</v>
      </c>
      <c r="R1" s="5" t="s">
        <v>22</v>
      </c>
    </row>
    <row r="2" customFormat="false" ht="13.8" hidden="false" customHeight="false" outlineLevel="0" collapsed="false">
      <c r="A2" s="0" t="s">
        <v>23</v>
      </c>
      <c r="B2" s="0" t="s">
        <v>24</v>
      </c>
      <c r="C2" s="0" t="s">
        <v>3</v>
      </c>
      <c r="D2" s="6" t="n">
        <v>235562</v>
      </c>
      <c r="E2" s="6" t="n">
        <f aca="false">(D2*0.025)</f>
        <v>5889.05</v>
      </c>
      <c r="F2" s="6" t="n">
        <f aca="false">IF(D2&gt;80000, D2*8%+10000,0)</f>
        <v>28844.96</v>
      </c>
      <c r="G2" s="6" t="n">
        <f aca="false">SUM(D2,E2)</f>
        <v>241451.05</v>
      </c>
      <c r="H2" s="6" t="n">
        <f aca="false">SUM(G2,F2)</f>
        <v>270296.01</v>
      </c>
      <c r="I2" s="6" t="n">
        <f aca="false">VLOOKUP(C2,'Qualifying Salary'!$A$2:$B$5,2,1)</f>
        <v>350000</v>
      </c>
      <c r="J2" s="0" t="str">
        <f aca="false">IF(D2&gt;I2,"Qualified","Not Qualified")</f>
        <v>Not Qualified</v>
      </c>
      <c r="K2" s="6" t="n">
        <v>3456</v>
      </c>
      <c r="L2" s="6" t="n">
        <f aca="false">PMT(0.006,60,-K2,0,0)</f>
        <v>68.7595212958523</v>
      </c>
      <c r="M2" s="6" t="n">
        <v>547</v>
      </c>
      <c r="N2" s="6" t="n">
        <f aca="false">PMT(0.004,18,-M2,0,0)</f>
        <v>31.5567269154404</v>
      </c>
      <c r="O2" s="6" t="n">
        <v>6000</v>
      </c>
      <c r="P2" s="7" t="n">
        <f aca="false">SUM(K2:O2)</f>
        <v>10103.3162482113</v>
      </c>
      <c r="Q2" s="7" t="n">
        <f aca="false">P2-H2</f>
        <v>-260192.693751789</v>
      </c>
      <c r="R2" s="0" t="str">
        <f aca="false">IF(P2&gt;(H2*0.5),"Approved", "Not Approved")</f>
        <v>Not Approved</v>
      </c>
    </row>
    <row r="3" customFormat="false" ht="13.8" hidden="false" customHeight="false" outlineLevel="0" collapsed="false">
      <c r="A3" s="0" t="s">
        <v>25</v>
      </c>
      <c r="B3" s="0" t="s">
        <v>26</v>
      </c>
      <c r="C3" s="0" t="s">
        <v>3</v>
      </c>
      <c r="D3" s="6" t="n">
        <v>100000</v>
      </c>
      <c r="E3" s="6" t="n">
        <f aca="false">(D3*0.025)</f>
        <v>2500</v>
      </c>
      <c r="F3" s="6" t="n">
        <f aca="false">IF(D3&gt;80000, D3*8%+10000,0)</f>
        <v>18000</v>
      </c>
      <c r="G3" s="6" t="n">
        <f aca="false">SUM(D3,E3)</f>
        <v>102500</v>
      </c>
      <c r="H3" s="6" t="n">
        <f aca="false">SUM(G3,F3)</f>
        <v>120500</v>
      </c>
      <c r="I3" s="6" t="n">
        <f aca="false">VLOOKUP(C3,'Qualifying Salary'!$A$2:$B$5,2,1)</f>
        <v>350000</v>
      </c>
      <c r="J3" s="0" t="str">
        <f aca="false">IF(D3&gt;I3,"Qualified","Not Qualified")</f>
        <v>Not Qualified</v>
      </c>
      <c r="K3" s="6" t="n">
        <v>45644</v>
      </c>
      <c r="L3" s="6" t="n">
        <f aca="false">PMT(0.006,60,-K3,0,0)</f>
        <v>908.119094336772</v>
      </c>
      <c r="M3" s="6" t="n">
        <v>34850</v>
      </c>
      <c r="N3" s="6" t="n">
        <f aca="false">PMT(0.004,18,-M3,0,0)</f>
        <v>2010.51541682468</v>
      </c>
      <c r="O3" s="6" t="n">
        <v>6000</v>
      </c>
      <c r="P3" s="7" t="n">
        <f aca="false">SUM(K3:O3)</f>
        <v>89412.6345111615</v>
      </c>
      <c r="Q3" s="7" t="n">
        <f aca="false">P3-H3</f>
        <v>-31087.3654888386</v>
      </c>
      <c r="R3" s="0" t="str">
        <f aca="false">IF(P3&gt;(H3*0.5),"Approved", "Not Approved")</f>
        <v>Approved</v>
      </c>
    </row>
    <row r="4" customFormat="false" ht="13.8" hidden="false" customHeight="false" outlineLevel="0" collapsed="false">
      <c r="A4" s="0" t="s">
        <v>27</v>
      </c>
      <c r="B4" s="0" t="s">
        <v>28</v>
      </c>
      <c r="C4" s="0" t="s">
        <v>3</v>
      </c>
      <c r="D4" s="6" t="n">
        <v>24653636</v>
      </c>
      <c r="E4" s="6" t="n">
        <f aca="false">(D4*0.025)</f>
        <v>616340.9</v>
      </c>
      <c r="F4" s="6" t="n">
        <f aca="false">IF(D4&gt;80000, D4*8%+10000,0)</f>
        <v>1982290.88</v>
      </c>
      <c r="G4" s="6" t="n">
        <f aca="false">SUM(D4,E4)</f>
        <v>25269976.9</v>
      </c>
      <c r="H4" s="6" t="n">
        <f aca="false">SUM(G4,F4)</f>
        <v>27252267.78</v>
      </c>
      <c r="I4" s="6" t="n">
        <f aca="false">VLOOKUP(C4,'Qualifying Salary'!$A$2:$B$5,2,1)</f>
        <v>350000</v>
      </c>
      <c r="J4" s="0" t="str">
        <f aca="false">IF(D4&gt;I4,"Qualified","Not Qualified")</f>
        <v>Qualified</v>
      </c>
      <c r="K4" s="6" t="n">
        <v>345643</v>
      </c>
      <c r="L4" s="6" t="n">
        <f aca="false">PMT(0.006,60,-K4,0,0)</f>
        <v>6876.80764446246</v>
      </c>
      <c r="M4" s="6" t="n">
        <v>3673</v>
      </c>
      <c r="N4" s="6" t="n">
        <f aca="false">PMT(0.004,18,-M4,0,0)</f>
        <v>211.897363730188</v>
      </c>
      <c r="O4" s="6" t="n">
        <v>6000</v>
      </c>
      <c r="P4" s="7" t="n">
        <f aca="false">SUM(K4:O4)</f>
        <v>362404.705008193</v>
      </c>
      <c r="Q4" s="7" t="n">
        <f aca="false">P4-H4</f>
        <v>-26889863.0749918</v>
      </c>
      <c r="R4" s="0" t="str">
        <f aca="false">IF(P4&gt;(H4*0.5),"Approved", "Not Approved")</f>
        <v>Not Approved</v>
      </c>
    </row>
    <row r="5" customFormat="false" ht="13.8" hidden="false" customHeight="false" outlineLevel="0" collapsed="false">
      <c r="A5" s="0" t="s">
        <v>29</v>
      </c>
      <c r="B5" s="0" t="s">
        <v>30</v>
      </c>
      <c r="C5" s="0" t="s">
        <v>3</v>
      </c>
      <c r="D5" s="6" t="n">
        <v>2235266</v>
      </c>
      <c r="E5" s="6" t="n">
        <f aca="false">(D5*0.025)</f>
        <v>55881.65</v>
      </c>
      <c r="F5" s="6" t="n">
        <f aca="false">IF(D5&gt;80000, D5*8%+10000,0)</f>
        <v>188821.28</v>
      </c>
      <c r="G5" s="6" t="n">
        <f aca="false">SUM(D5,E5)</f>
        <v>2291147.65</v>
      </c>
      <c r="H5" s="6" t="n">
        <f aca="false">SUM(G5,F5)</f>
        <v>2479968.93</v>
      </c>
      <c r="I5" s="6" t="n">
        <f aca="false">VLOOKUP(C5,'Qualifying Salary'!$A$2:$B$5,2,1)</f>
        <v>350000</v>
      </c>
      <c r="J5" s="0" t="str">
        <f aca="false">IF(D5&gt;I5,"Qualified","Not Qualified")</f>
        <v>Qualified</v>
      </c>
      <c r="K5" s="6" t="n">
        <v>345734</v>
      </c>
      <c r="L5" s="6" t="n">
        <f aca="false">PMT(0.006,60,-K5,0,0)</f>
        <v>6878.61815269103</v>
      </c>
      <c r="M5" s="6" t="n">
        <v>3453</v>
      </c>
      <c r="N5" s="6" t="n">
        <f aca="false">PMT(0.004,18,-M5,0,0)</f>
        <v>199.205444312643</v>
      </c>
      <c r="O5" s="6" t="n">
        <v>6000</v>
      </c>
      <c r="P5" s="7" t="n">
        <f aca="false">SUM(K5:O5)</f>
        <v>362264.823597004</v>
      </c>
      <c r="Q5" s="7" t="n">
        <f aca="false">P5-H5</f>
        <v>-2117704.106403</v>
      </c>
      <c r="R5" s="0" t="str">
        <f aca="false">IF(P5&gt;(H5*0.5),"Approved", "Not Approved")</f>
        <v>Not Approved</v>
      </c>
    </row>
    <row r="6" customFormat="false" ht="13.8" hidden="false" customHeight="false" outlineLevel="0" collapsed="false">
      <c r="A6" s="0" t="s">
        <v>31</v>
      </c>
      <c r="B6" s="0" t="s">
        <v>32</v>
      </c>
      <c r="C6" s="0" t="s">
        <v>3</v>
      </c>
      <c r="D6" s="6" t="n">
        <v>38042888</v>
      </c>
      <c r="E6" s="6" t="n">
        <f aca="false">(D6*0.025)</f>
        <v>951072.2</v>
      </c>
      <c r="F6" s="6" t="n">
        <f aca="false">IF(D6&gt;80000, D6*8%+10000,0)</f>
        <v>3053431.04</v>
      </c>
      <c r="G6" s="6" t="n">
        <f aca="false">SUM(D6,E6)</f>
        <v>38993960.2</v>
      </c>
      <c r="H6" s="6" t="n">
        <f aca="false">SUM(G6,F6)</f>
        <v>42047391.24</v>
      </c>
      <c r="I6" s="6" t="n">
        <f aca="false">VLOOKUP(C6,'Qualifying Salary'!$A$2:$B$5,2,1)</f>
        <v>350000</v>
      </c>
      <c r="J6" s="0" t="str">
        <f aca="false">IF(D6&gt;I6,"Qualified","Not Qualified")</f>
        <v>Qualified</v>
      </c>
      <c r="K6" s="6" t="n">
        <v>381101</v>
      </c>
      <c r="L6" s="6" t="n">
        <f aca="false">PMT(0.006,60,-K6,0,0)</f>
        <v>7582.26919136881</v>
      </c>
      <c r="M6" s="6" t="n">
        <v>360</v>
      </c>
      <c r="N6" s="6" t="n">
        <f aca="false">PMT(0.004,18,-M6,0,0)</f>
        <v>20.7685954105275</v>
      </c>
      <c r="O6" s="6" t="n">
        <v>6004</v>
      </c>
      <c r="P6" s="7" t="n">
        <f aca="false">SUM(K6:O6)</f>
        <v>395068.037786779</v>
      </c>
      <c r="Q6" s="7" t="n">
        <f aca="false">P6-H6</f>
        <v>-41652323.2022132</v>
      </c>
      <c r="R6" s="0" t="str">
        <f aca="false">IF(P6&gt;(H6*0.5),"Approved", "Not Approved")</f>
        <v>Not Approved</v>
      </c>
    </row>
    <row r="7" customFormat="false" ht="13.8" hidden="false" customHeight="false" outlineLevel="0" collapsed="false">
      <c r="A7" s="0" t="s">
        <v>33</v>
      </c>
      <c r="B7" s="0" t="s">
        <v>34</v>
      </c>
      <c r="C7" s="0" t="s">
        <v>3</v>
      </c>
      <c r="D7" s="6" t="n">
        <v>7911740</v>
      </c>
      <c r="E7" s="6" t="n">
        <f aca="false">(D7*0.025)</f>
        <v>197793.5</v>
      </c>
      <c r="F7" s="6" t="n">
        <f aca="false">IF(D7&gt;80000, D7*8%+10000,0)</f>
        <v>642939.2</v>
      </c>
      <c r="G7" s="6" t="n">
        <f aca="false">SUM(D7,E7)</f>
        <v>8109533.5</v>
      </c>
      <c r="H7" s="6" t="n">
        <f aca="false">SUM(G7,F7)</f>
        <v>8752472.7</v>
      </c>
      <c r="I7" s="6" t="n">
        <f aca="false">VLOOKUP(C7,'Qualifying Salary'!$A$2:$B$5,2,1)</f>
        <v>350000</v>
      </c>
      <c r="J7" s="0" t="str">
        <f aca="false">IF(D7&gt;I7,"Qualified","Not Qualified")</f>
        <v>Qualified</v>
      </c>
      <c r="K7" s="6" t="n">
        <v>390404</v>
      </c>
      <c r="L7" s="6" t="n">
        <f aca="false">PMT(0.006,60,-K7,0,0)</f>
        <v>7767.3588402737</v>
      </c>
      <c r="M7" s="6" t="n">
        <v>363</v>
      </c>
      <c r="N7" s="6" t="n">
        <f aca="false">PMT(0.004,18,-M7,0,0)</f>
        <v>20.9416670389486</v>
      </c>
      <c r="O7" s="6" t="n">
        <v>6007</v>
      </c>
      <c r="P7" s="7" t="n">
        <f aca="false">SUM(K7:O7)</f>
        <v>404562.300507313</v>
      </c>
      <c r="Q7" s="7" t="n">
        <f aca="false">P7-H7</f>
        <v>-8347910.39949269</v>
      </c>
      <c r="R7" s="0" t="str">
        <f aca="false">IF(P7&gt;(H7*0.5),"Approved", "Not Approved")</f>
        <v>Not Approved</v>
      </c>
    </row>
    <row r="8" customFormat="false" ht="13.8" hidden="false" customHeight="false" outlineLevel="0" collapsed="false">
      <c r="A8" s="0" t="s">
        <v>35</v>
      </c>
      <c r="B8" s="0" t="s">
        <v>36</v>
      </c>
      <c r="C8" s="0" t="s">
        <v>3</v>
      </c>
      <c r="D8" s="6" t="n">
        <v>100000</v>
      </c>
      <c r="E8" s="6" t="n">
        <f aca="false">(D8*0.025)</f>
        <v>2500</v>
      </c>
      <c r="F8" s="6" t="n">
        <f aca="false">IF(D8&gt;80000, D8*8%+10000,0)</f>
        <v>18000</v>
      </c>
      <c r="G8" s="6" t="n">
        <f aca="false">SUM(D8,E8)</f>
        <v>102500</v>
      </c>
      <c r="H8" s="6" t="n">
        <f aca="false">SUM(G8,F8)</f>
        <v>120500</v>
      </c>
      <c r="I8" s="6" t="n">
        <f aca="false">VLOOKUP(C8,'Qualifying Salary'!$A$2:$B$5,2,1)</f>
        <v>350000</v>
      </c>
      <c r="J8" s="0" t="str">
        <f aca="false">IF(D8&gt;I8,"Qualified","Not Qualified")</f>
        <v>Not Qualified</v>
      </c>
      <c r="K8" s="6" t="n">
        <v>500000</v>
      </c>
      <c r="L8" s="6" t="n">
        <f aca="false">PMT(0.006,60,-K8,0,0)</f>
        <v>9947.84740970085</v>
      </c>
      <c r="M8" s="6" t="n">
        <v>23423</v>
      </c>
      <c r="N8" s="6" t="n">
        <f aca="false">PMT(0.004,18,-M8,0,0)</f>
        <v>1351.28558416885</v>
      </c>
      <c r="O8" s="6" t="n">
        <v>6000</v>
      </c>
      <c r="P8" s="7" t="n">
        <f aca="false">SUM(K8:O8)</f>
        <v>540722.13299387</v>
      </c>
      <c r="Q8" s="7" t="n">
        <f aca="false">P8-H8</f>
        <v>420222.13299387</v>
      </c>
      <c r="R8" s="0" t="str">
        <f aca="false">IF(P8&gt;(H8*0.5),"Approved", "Not Approved")</f>
        <v>Approved</v>
      </c>
    </row>
    <row r="9" customFormat="false" ht="13.8" hidden="false" customHeight="false" outlineLevel="0" collapsed="false">
      <c r="A9" s="0" t="s">
        <v>37</v>
      </c>
      <c r="B9" s="0" t="s">
        <v>38</v>
      </c>
      <c r="C9" s="0" t="s">
        <v>3</v>
      </c>
      <c r="D9" s="6" t="n">
        <v>3656846</v>
      </c>
      <c r="E9" s="6" t="n">
        <f aca="false">(D9*0.025)</f>
        <v>91421.15</v>
      </c>
      <c r="F9" s="6" t="n">
        <f aca="false">IF(D9&gt;80000, D9*8%+10000,0)</f>
        <v>302547.68</v>
      </c>
      <c r="G9" s="6" t="n">
        <f aca="false">SUM(D9,E9)</f>
        <v>3748267.15</v>
      </c>
      <c r="H9" s="6" t="n">
        <f aca="false">SUM(G9,F9)</f>
        <v>4050814.83</v>
      </c>
      <c r="I9" s="6" t="n">
        <f aca="false">VLOOKUP(C9,'Qualifying Salary'!$A$2:$B$5,2,1)</f>
        <v>350000</v>
      </c>
      <c r="J9" s="0" t="str">
        <f aca="false">IF(D9&gt;I9,"Qualified","Not Qualified")</f>
        <v>Qualified</v>
      </c>
      <c r="K9" s="6" t="n">
        <v>526000</v>
      </c>
      <c r="L9" s="6" t="n">
        <f aca="false">PMT(0.006,60,-K9,0,0)</f>
        <v>10465.1354750053</v>
      </c>
      <c r="M9" s="6" t="n">
        <v>35673</v>
      </c>
      <c r="N9" s="6" t="n">
        <f aca="false">PMT(0.004,18,-M9,0,0)</f>
        <v>2057.99473355486</v>
      </c>
      <c r="O9" s="6" t="n">
        <v>6000</v>
      </c>
      <c r="P9" s="7" t="n">
        <f aca="false">SUM(K9:O9)</f>
        <v>580196.13020856</v>
      </c>
      <c r="Q9" s="7" t="n">
        <f aca="false">P9-H9</f>
        <v>-3470618.69979144</v>
      </c>
      <c r="R9" s="0" t="str">
        <f aca="false">IF(P9&gt;(H9*0.5),"Approved", "Not Approved")</f>
        <v>Not Approved</v>
      </c>
    </row>
    <row r="10" customFormat="false" ht="13.8" hidden="false" customHeight="false" outlineLevel="0" collapsed="false">
      <c r="A10" s="0" t="s">
        <v>39</v>
      </c>
      <c r="B10" s="0" t="s">
        <v>40</v>
      </c>
      <c r="C10" s="0" t="s">
        <v>3</v>
      </c>
      <c r="D10" s="6" t="n">
        <v>2037593</v>
      </c>
      <c r="E10" s="6" t="n">
        <f aca="false">(D10*0.025)</f>
        <v>50939.825</v>
      </c>
      <c r="F10" s="6" t="n">
        <f aca="false">IF(D10&gt;80000, D10*8%+10000,0)</f>
        <v>173007.44</v>
      </c>
      <c r="G10" s="6" t="n">
        <f aca="false">SUM(D10,E10)</f>
        <v>2088532.825</v>
      </c>
      <c r="H10" s="6" t="n">
        <f aca="false">SUM(G10,F10)</f>
        <v>2261540.265</v>
      </c>
      <c r="I10" s="6" t="n">
        <f aca="false">VLOOKUP(C10,'Qualifying Salary'!$A$2:$B$5,2,1)</f>
        <v>350000</v>
      </c>
      <c r="J10" s="0" t="str">
        <f aca="false">IF(D10&gt;I10,"Qualified","Not Qualified")</f>
        <v>Qualified</v>
      </c>
      <c r="K10" s="6" t="n">
        <v>532000</v>
      </c>
      <c r="L10" s="6" t="n">
        <f aca="false">PMT(0.006,60,-K10,0,0)</f>
        <v>10584.5096439217</v>
      </c>
      <c r="M10" s="6" t="n">
        <v>3567</v>
      </c>
      <c r="N10" s="6" t="n">
        <f aca="false">PMT(0.004,18,-M10,0,0)</f>
        <v>205.782166192643</v>
      </c>
      <c r="O10" s="6" t="n">
        <v>6000</v>
      </c>
      <c r="P10" s="7" t="n">
        <f aca="false">SUM(K10:O10)</f>
        <v>552357.291810114</v>
      </c>
      <c r="Q10" s="7" t="n">
        <f aca="false">P10-H10</f>
        <v>-1709182.97318989</v>
      </c>
      <c r="R10" s="0" t="str">
        <f aca="false">IF(P10&gt;(H10*0.5),"Approved", "Not Approved")</f>
        <v>Not Approved</v>
      </c>
    </row>
    <row r="11" customFormat="false" ht="13.8" hidden="false" customHeight="false" outlineLevel="0" collapsed="false">
      <c r="A11" s="0" t="s">
        <v>41</v>
      </c>
      <c r="B11" s="0" t="s">
        <v>42</v>
      </c>
      <c r="C11" s="0" t="s">
        <v>4</v>
      </c>
      <c r="D11" s="6" t="n">
        <v>9090000</v>
      </c>
      <c r="E11" s="6" t="n">
        <f aca="false">(D11*0.025)</f>
        <v>227250</v>
      </c>
      <c r="F11" s="6" t="n">
        <f aca="false">IF(D11&gt;80000, D11*8%+10000,0)</f>
        <v>737200</v>
      </c>
      <c r="G11" s="6" t="n">
        <f aca="false">SUM(D11,E11)</f>
        <v>9317250</v>
      </c>
      <c r="H11" s="6" t="n">
        <f aca="false">SUM(G11,F11)</f>
        <v>10054450</v>
      </c>
      <c r="I11" s="6" t="n">
        <f aca="false">VLOOKUP(C11,'Qualifying Salary'!$A$2:$B$5,2,1)</f>
        <v>300000</v>
      </c>
      <c r="J11" s="0" t="str">
        <f aca="false">IF(D11&gt;I11,"Qualified","Not Qualified")</f>
        <v>Qualified</v>
      </c>
      <c r="K11" s="6" t="n">
        <v>34564</v>
      </c>
      <c r="L11" s="6" t="n">
        <f aca="false">PMT(0.006,60,-K11,0,0)</f>
        <v>687.674795737801</v>
      </c>
      <c r="M11" s="6" t="n">
        <v>5467</v>
      </c>
      <c r="N11" s="6" t="n">
        <f aca="false">PMT(0.004,18,-M11,0,0)</f>
        <v>315.394197525983</v>
      </c>
      <c r="O11" s="6" t="n">
        <v>6000</v>
      </c>
      <c r="P11" s="7" t="n">
        <f aca="false">SUM(K11:O11)</f>
        <v>47034.0689932638</v>
      </c>
      <c r="Q11" s="7" t="n">
        <f aca="false">P11-H11</f>
        <v>-10007415.9310067</v>
      </c>
      <c r="R11" s="0" t="str">
        <f aca="false">IF(P11&gt;(H11*0.5),"Approved", "Not Approved")</f>
        <v>Not Approved</v>
      </c>
    </row>
    <row r="12" customFormat="false" ht="13.8" hidden="false" customHeight="false" outlineLevel="0" collapsed="false">
      <c r="A12" s="0" t="s">
        <v>43</v>
      </c>
      <c r="B12" s="0" t="s">
        <v>44</v>
      </c>
      <c r="C12" s="0" t="s">
        <v>4</v>
      </c>
      <c r="D12" s="6" t="n">
        <v>29352935</v>
      </c>
      <c r="E12" s="6" t="n">
        <f aca="false">(D12*0.025)</f>
        <v>733823.375</v>
      </c>
      <c r="F12" s="6" t="n">
        <f aca="false">IF(D12&gt;80000, D12*8%+10000,0)</f>
        <v>2358234.8</v>
      </c>
      <c r="G12" s="6" t="n">
        <f aca="false">SUM(D12,E12)</f>
        <v>30086758.375</v>
      </c>
      <c r="H12" s="6" t="n">
        <f aca="false">SUM(G12,F12)</f>
        <v>32444993.175</v>
      </c>
      <c r="I12" s="6" t="n">
        <f aca="false">VLOOKUP(C12,'Qualifying Salary'!$A$2:$B$5,2,1)</f>
        <v>300000</v>
      </c>
      <c r="J12" s="0" t="str">
        <f aca="false">IF(D12&gt;I12,"Qualified","Not Qualified")</f>
        <v>Qualified</v>
      </c>
      <c r="K12" s="6" t="n">
        <v>345634</v>
      </c>
      <c r="L12" s="6" t="n">
        <f aca="false">PMT(0.006,60,-K12,0,0)</f>
        <v>6876.62858320909</v>
      </c>
      <c r="M12" s="6" t="n">
        <v>5673</v>
      </c>
      <c r="N12" s="6" t="n">
        <f aca="false">PMT(0.004,18,-M12,0,0)</f>
        <v>327.278449344229</v>
      </c>
      <c r="O12" s="6" t="n">
        <v>6000</v>
      </c>
      <c r="P12" s="7" t="n">
        <f aca="false">SUM(K12:O12)</f>
        <v>364510.907032553</v>
      </c>
      <c r="Q12" s="7" t="n">
        <f aca="false">P12-H12</f>
        <v>-32080482.2679674</v>
      </c>
      <c r="R12" s="0" t="str">
        <f aca="false">IF(P12&gt;(H12*0.5),"Approved", "Not Approved")</f>
        <v>Not Approved</v>
      </c>
    </row>
    <row r="13" customFormat="false" ht="13.8" hidden="false" customHeight="false" outlineLevel="0" collapsed="false">
      <c r="A13" s="0" t="s">
        <v>45</v>
      </c>
      <c r="B13" s="0" t="s">
        <v>46</v>
      </c>
      <c r="C13" s="0" t="s">
        <v>4</v>
      </c>
      <c r="D13" s="6" t="n">
        <v>23640770</v>
      </c>
      <c r="E13" s="6" t="n">
        <f aca="false">(D13*0.025)</f>
        <v>591019.25</v>
      </c>
      <c r="F13" s="6" t="n">
        <f aca="false">IF(D13&gt;80000, D13*8%+10000,0)</f>
        <v>1901261.6</v>
      </c>
      <c r="G13" s="6" t="n">
        <f aca="false">SUM(D13,E13)</f>
        <v>24231789.25</v>
      </c>
      <c r="H13" s="6" t="n">
        <f aca="false">SUM(G13,F13)</f>
        <v>26133050.85</v>
      </c>
      <c r="I13" s="6" t="n">
        <f aca="false">VLOOKUP(C13,'Qualifying Salary'!$A$2:$B$5,2,1)</f>
        <v>300000</v>
      </c>
      <c r="J13" s="0" t="str">
        <f aca="false">IF(D13&gt;I13,"Qualified","Not Qualified")</f>
        <v>Qualified</v>
      </c>
      <c r="K13" s="6" t="n">
        <v>374899</v>
      </c>
      <c r="L13" s="6" t="n">
        <f aca="false">PMT(0.006,60,-K13,0,0)</f>
        <v>7458.87609209888</v>
      </c>
      <c r="M13" s="6" t="n">
        <v>358</v>
      </c>
      <c r="N13" s="6" t="n">
        <f aca="false">PMT(0.004,18,-M13,0,0)</f>
        <v>20.6532143249135</v>
      </c>
      <c r="O13" s="6" t="n">
        <v>6002</v>
      </c>
      <c r="P13" s="7" t="n">
        <f aca="false">SUM(K13:O13)</f>
        <v>388738.529306424</v>
      </c>
      <c r="Q13" s="7" t="n">
        <f aca="false">P13-H13</f>
        <v>-25744312.3206936</v>
      </c>
      <c r="R13" s="0" t="str">
        <f aca="false">IF(P13&gt;(H13*0.5),"Approved", "Not Approved")</f>
        <v>Not Approved</v>
      </c>
    </row>
    <row r="14" customFormat="false" ht="13.8" hidden="false" customHeight="false" outlineLevel="0" collapsed="false">
      <c r="A14" s="0" t="s">
        <v>47</v>
      </c>
      <c r="B14" s="0" t="s">
        <v>48</v>
      </c>
      <c r="C14" s="0" t="s">
        <v>4</v>
      </c>
      <c r="D14" s="6" t="n">
        <v>30841829</v>
      </c>
      <c r="E14" s="6" t="n">
        <f aca="false">(D14*0.025)</f>
        <v>771045.725</v>
      </c>
      <c r="F14" s="6" t="n">
        <f aca="false">IF(D14&gt;80000, D14*8%+10000,0)</f>
        <v>2477346.32</v>
      </c>
      <c r="G14" s="6" t="n">
        <f aca="false">SUM(D14,E14)</f>
        <v>31612874.725</v>
      </c>
      <c r="H14" s="6" t="n">
        <f aca="false">SUM(G14,F14)</f>
        <v>34090221.045</v>
      </c>
      <c r="I14" s="6" t="n">
        <f aca="false">VLOOKUP(C14,'Qualifying Salary'!$A$2:$B$5,2,1)</f>
        <v>300000</v>
      </c>
      <c r="J14" s="0" t="str">
        <f aca="false">IF(D14&gt;I14,"Qualified","Not Qualified")</f>
        <v>Qualified</v>
      </c>
      <c r="K14" s="6" t="n">
        <v>378000</v>
      </c>
      <c r="L14" s="6" t="n">
        <f aca="false">PMT(0.006,60,-K14,0,0)</f>
        <v>7520.57264173385</v>
      </c>
      <c r="M14" s="6" t="n">
        <v>359</v>
      </c>
      <c r="N14" s="6" t="n">
        <f aca="false">PMT(0.004,18,-M14,0,0)</f>
        <v>20.7109048677205</v>
      </c>
      <c r="O14" s="6" t="n">
        <v>6003</v>
      </c>
      <c r="P14" s="7" t="n">
        <f aca="false">SUM(K14:O14)</f>
        <v>391903.283546602</v>
      </c>
      <c r="Q14" s="7" t="n">
        <f aca="false">P14-H14</f>
        <v>-33698317.7614534</v>
      </c>
      <c r="R14" s="0" t="str">
        <f aca="false">IF(P14&gt;(H14*0.5),"Approved", "Not Approved")</f>
        <v>Not Approved</v>
      </c>
    </row>
    <row r="15" customFormat="false" ht="13.8" hidden="false" customHeight="false" outlineLevel="0" collapsed="false">
      <c r="A15" s="0" t="s">
        <v>49</v>
      </c>
      <c r="B15" s="0" t="s">
        <v>50</v>
      </c>
      <c r="C15" s="0" t="s">
        <v>4</v>
      </c>
      <c r="D15" s="6" t="n">
        <v>8335782</v>
      </c>
      <c r="E15" s="6" t="n">
        <f aca="false">(D15*0.025)</f>
        <v>208394.55</v>
      </c>
      <c r="F15" s="6" t="n">
        <f aca="false">IF(D15&gt;80000, D15*8%+10000,0)</f>
        <v>676862.56</v>
      </c>
      <c r="G15" s="6" t="n">
        <f aca="false">SUM(D15,E15)</f>
        <v>8544176.55</v>
      </c>
      <c r="H15" s="6" t="n">
        <f aca="false">SUM(G15,F15)</f>
        <v>9221039.11</v>
      </c>
      <c r="I15" s="6" t="n">
        <f aca="false">VLOOKUP(C15,'Qualifying Salary'!$A$2:$B$5,2,1)</f>
        <v>300000</v>
      </c>
      <c r="J15" s="0" t="str">
        <f aca="false">IF(D15&gt;I15,"Qualified","Not Qualified")</f>
        <v>Qualified</v>
      </c>
      <c r="K15" s="6" t="n">
        <v>393505</v>
      </c>
      <c r="L15" s="6" t="n">
        <f aca="false">PMT(0.006,60,-K15,0,0)</f>
        <v>7829.05538990867</v>
      </c>
      <c r="M15" s="6" t="n">
        <v>364</v>
      </c>
      <c r="N15" s="6" t="n">
        <f aca="false">PMT(0.004,18,-M15,0,0)</f>
        <v>20.9993575817556</v>
      </c>
      <c r="O15" s="6" t="n">
        <v>6008</v>
      </c>
      <c r="P15" s="7" t="n">
        <f aca="false">SUM(K15:O15)</f>
        <v>407727.05474749</v>
      </c>
      <c r="Q15" s="7" t="n">
        <f aca="false">P15-H15</f>
        <v>-8813312.05525251</v>
      </c>
      <c r="R15" s="0" t="str">
        <f aca="false">IF(P15&gt;(H15*0.5),"Approved", "Not Approved")</f>
        <v>Not Approved</v>
      </c>
    </row>
    <row r="16" customFormat="false" ht="13.8" hidden="false" customHeight="false" outlineLevel="0" collapsed="false">
      <c r="A16" s="0" t="s">
        <v>51</v>
      </c>
      <c r="B16" s="0" t="s">
        <v>52</v>
      </c>
      <c r="C16" s="0" t="s">
        <v>4</v>
      </c>
      <c r="D16" s="6" t="n">
        <v>9183866</v>
      </c>
      <c r="E16" s="6" t="n">
        <f aca="false">(D16*0.025)</f>
        <v>229596.65</v>
      </c>
      <c r="F16" s="6" t="n">
        <f aca="false">IF(D16&gt;80000, D16*8%+10000,0)</f>
        <v>744709.28</v>
      </c>
      <c r="G16" s="6" t="n">
        <f aca="false">SUM(D16,E16)</f>
        <v>9413462.65</v>
      </c>
      <c r="H16" s="6" t="n">
        <f aca="false">SUM(G16,F16)</f>
        <v>10158171.93</v>
      </c>
      <c r="I16" s="6" t="n">
        <f aca="false">VLOOKUP(C16,'Qualifying Salary'!$A$2:$B$5,2,1)</f>
        <v>300000</v>
      </c>
      <c r="J16" s="0" t="str">
        <f aca="false">IF(D16&gt;I16,"Qualified","Not Qualified")</f>
        <v>Qualified</v>
      </c>
      <c r="K16" s="6" t="n">
        <v>399707</v>
      </c>
      <c r="L16" s="6" t="n">
        <f aca="false">PMT(0.006,60,-K16,0,0)</f>
        <v>7952.4484891786</v>
      </c>
      <c r="M16" s="6" t="n">
        <v>366</v>
      </c>
      <c r="N16" s="6" t="n">
        <f aca="false">PMT(0.004,18,-M16,0,0)</f>
        <v>21.1147386673696</v>
      </c>
      <c r="O16" s="6" t="n">
        <v>6010</v>
      </c>
      <c r="P16" s="7" t="n">
        <f aca="false">SUM(K16:O16)</f>
        <v>414056.563227846</v>
      </c>
      <c r="Q16" s="7" t="n">
        <f aca="false">P16-H16</f>
        <v>-9744115.36677215</v>
      </c>
      <c r="R16" s="0" t="str">
        <f aca="false">IF(P16&gt;(H16*0.5),"Approved", "Not Approved")</f>
        <v>Not Approved</v>
      </c>
    </row>
    <row r="17" customFormat="false" ht="13.8" hidden="false" customHeight="false" outlineLevel="0" collapsed="false">
      <c r="A17" s="0" t="s">
        <v>53</v>
      </c>
      <c r="B17" s="0" t="s">
        <v>54</v>
      </c>
      <c r="C17" s="0" t="s">
        <v>4</v>
      </c>
      <c r="D17" s="6" t="n">
        <v>9607908</v>
      </c>
      <c r="E17" s="6" t="n">
        <f aca="false">(D17*0.025)</f>
        <v>240197.7</v>
      </c>
      <c r="F17" s="6" t="n">
        <f aca="false">IF(D17&gt;80000, D17*8%+10000,0)</f>
        <v>778632.64</v>
      </c>
      <c r="G17" s="6" t="n">
        <f aca="false">SUM(D17,E17)</f>
        <v>9848105.7</v>
      </c>
      <c r="H17" s="6" t="n">
        <f aca="false">SUM(G17,F17)</f>
        <v>10626738.34</v>
      </c>
      <c r="I17" s="6" t="n">
        <f aca="false">VLOOKUP(C17,'Qualifying Salary'!$A$2:$B$5,2,1)</f>
        <v>300000</v>
      </c>
      <c r="J17" s="0" t="str">
        <f aca="false">IF(D17&gt;I17,"Qualified","Not Qualified")</f>
        <v>Qualified</v>
      </c>
      <c r="K17" s="6" t="n">
        <v>402808</v>
      </c>
      <c r="L17" s="6" t="n">
        <f aca="false">PMT(0.006,60,-K17,0,0)</f>
        <v>8014.14503881356</v>
      </c>
      <c r="M17" s="6" t="n">
        <v>367</v>
      </c>
      <c r="N17" s="6" t="n">
        <f aca="false">PMT(0.004,18,-M17,0,0)</f>
        <v>21.1724292101767</v>
      </c>
      <c r="O17" s="6" t="n">
        <v>6011</v>
      </c>
      <c r="P17" s="7" t="n">
        <f aca="false">SUM(K17:O17)</f>
        <v>417221.317468024</v>
      </c>
      <c r="Q17" s="7" t="n">
        <f aca="false">P17-H17</f>
        <v>-10209517.022532</v>
      </c>
      <c r="R17" s="0" t="str">
        <f aca="false">IF(P17&gt;(H17*0.5),"Approved", "Not Approved")</f>
        <v>Not Approved</v>
      </c>
    </row>
    <row r="18" customFormat="false" ht="13.8" hidden="false" customHeight="false" outlineLevel="0" collapsed="false">
      <c r="A18" s="0" t="s">
        <v>55</v>
      </c>
      <c r="B18" s="0" t="s">
        <v>56</v>
      </c>
      <c r="C18" s="0" t="s">
        <v>4</v>
      </c>
      <c r="D18" s="6" t="n">
        <v>100000</v>
      </c>
      <c r="E18" s="6" t="n">
        <f aca="false">(D18*0.025)</f>
        <v>2500</v>
      </c>
      <c r="F18" s="6" t="n">
        <f aca="false">IF(D18&gt;80000, D18*8%+10000,0)</f>
        <v>18000</v>
      </c>
      <c r="G18" s="6" t="n">
        <f aca="false">SUM(D18,E18)</f>
        <v>102500</v>
      </c>
      <c r="H18" s="6" t="n">
        <f aca="false">SUM(G18,F18)</f>
        <v>120500</v>
      </c>
      <c r="I18" s="6" t="n">
        <f aca="false">VLOOKUP(C18,'Qualifying Salary'!$A$2:$B$5,2,1)</f>
        <v>300000</v>
      </c>
      <c r="J18" s="0" t="str">
        <f aca="false">IF(D18&gt;I18,"Qualified","Not Qualified")</f>
        <v>Not Qualified</v>
      </c>
      <c r="K18" s="6" t="n">
        <v>522000</v>
      </c>
      <c r="L18" s="6" t="n">
        <f aca="false">PMT(0.006,60,-K18,0,0)</f>
        <v>10385.5526957277</v>
      </c>
      <c r="M18" s="6" t="n">
        <v>567</v>
      </c>
      <c r="N18" s="6" t="n">
        <f aca="false">PMT(0.004,18,-M18,0,0)</f>
        <v>32.7105377715808</v>
      </c>
      <c r="O18" s="6" t="n">
        <v>6000</v>
      </c>
      <c r="P18" s="7" t="n">
        <f aca="false">SUM(K18:O18)</f>
        <v>538985.263233499</v>
      </c>
      <c r="Q18" s="7" t="n">
        <f aca="false">P18-H18</f>
        <v>418485.263233499</v>
      </c>
      <c r="R18" s="0" t="str">
        <f aca="false">IF(P18&gt;(H18*0.5),"Approved", "Not Approved")</f>
        <v>Approved</v>
      </c>
    </row>
    <row r="19" customFormat="false" ht="13.8" hidden="false" customHeight="false" outlineLevel="0" collapsed="false">
      <c r="A19" s="0" t="s">
        <v>57</v>
      </c>
      <c r="B19" s="0" t="s">
        <v>58</v>
      </c>
      <c r="C19" s="0" t="s">
        <v>4</v>
      </c>
      <c r="D19" s="6" t="n">
        <v>9238652</v>
      </c>
      <c r="E19" s="6" t="n">
        <f aca="false">(D19*0.025)</f>
        <v>230966.3</v>
      </c>
      <c r="F19" s="6" t="n">
        <f aca="false">IF(D19&gt;80000, D19*8%+10000,0)</f>
        <v>749092.16</v>
      </c>
      <c r="G19" s="6" t="n">
        <f aca="false">SUM(D19,E19)</f>
        <v>9469618.3</v>
      </c>
      <c r="H19" s="6" t="n">
        <f aca="false">SUM(G19,F19)</f>
        <v>10218710.46</v>
      </c>
      <c r="I19" s="6" t="n">
        <f aca="false">VLOOKUP(C19,'Qualifying Salary'!$A$2:$B$5,2,1)</f>
        <v>300000</v>
      </c>
      <c r="J19" s="0" t="str">
        <f aca="false">IF(D19&gt;I19,"Qualified","Not Qualified")</f>
        <v>Qualified</v>
      </c>
      <c r="K19" s="6" t="n">
        <v>534000</v>
      </c>
      <c r="L19" s="6" t="n">
        <f aca="false">PMT(0.006,60,-K19,0,0)</f>
        <v>10624.3010335605</v>
      </c>
      <c r="M19" s="6" t="n">
        <v>356</v>
      </c>
      <c r="N19" s="6" t="n">
        <f aca="false">PMT(0.004,18,-M19,0,0)</f>
        <v>20.5378332392994</v>
      </c>
      <c r="O19" s="6" t="n">
        <v>6000</v>
      </c>
      <c r="P19" s="7" t="n">
        <f aca="false">SUM(K19:O19)</f>
        <v>551000.8388668</v>
      </c>
      <c r="Q19" s="7" t="n">
        <f aca="false">P19-H19</f>
        <v>-9667709.6211332</v>
      </c>
      <c r="R19" s="0" t="str">
        <f aca="false">IF(P19&gt;(H19*0.5),"Approved", "Not Approved")</f>
        <v>Not Approved</v>
      </c>
    </row>
    <row r="20" customFormat="false" ht="13.8" hidden="false" customHeight="false" outlineLevel="0" collapsed="false">
      <c r="A20" s="0" t="s">
        <v>59</v>
      </c>
      <c r="B20" s="0" t="s">
        <v>60</v>
      </c>
      <c r="C20" s="0" t="s">
        <v>5</v>
      </c>
      <c r="D20" s="6" t="n">
        <v>22000000</v>
      </c>
      <c r="E20" s="6" t="n">
        <f aca="false">(D20*0.025)</f>
        <v>550000</v>
      </c>
      <c r="F20" s="6" t="n">
        <f aca="false">IF(D20&gt;80000, D20*8%+10000,0)</f>
        <v>1770000</v>
      </c>
      <c r="G20" s="6" t="n">
        <f aca="false">SUM(D20,E20)</f>
        <v>22550000</v>
      </c>
      <c r="H20" s="6" t="n">
        <f aca="false">SUM(G20,F20)</f>
        <v>24320000</v>
      </c>
      <c r="I20" s="6" t="n">
        <f aca="false">VLOOKUP(C20,'Qualifying Salary'!$A$2:$B$5,2,1)</f>
        <v>250000</v>
      </c>
      <c r="J20" s="0" t="str">
        <f aca="false">IF(D20&gt;I20,"Qualified","Not Qualified")</f>
        <v>Qualified</v>
      </c>
      <c r="K20" s="6" t="n">
        <v>34674</v>
      </c>
      <c r="L20" s="6" t="n">
        <f aca="false">PMT(0.006,60,-K20,0,0)</f>
        <v>689.863322167935</v>
      </c>
      <c r="M20" s="6" t="n">
        <v>45745</v>
      </c>
      <c r="N20" s="6" t="n">
        <f aca="false">PMT(0.004,18,-M20,0,0)</f>
        <v>2639.05388070717</v>
      </c>
      <c r="O20" s="6" t="n">
        <v>6000</v>
      </c>
      <c r="P20" s="7" t="n">
        <f aca="false">SUM(K20:O20)</f>
        <v>89747.9172028751</v>
      </c>
      <c r="Q20" s="7" t="n">
        <f aca="false">P20-H20</f>
        <v>-24230252.0827971</v>
      </c>
      <c r="R20" s="0" t="str">
        <f aca="false">IF(P20&gt;(H20*0.5),"Approved", "Not Approved")</f>
        <v>Not Approved</v>
      </c>
    </row>
    <row r="21" customFormat="false" ht="13.8" hidden="false" customHeight="false" outlineLevel="0" collapsed="false">
      <c r="A21" s="0" t="s">
        <v>61</v>
      </c>
      <c r="B21" s="0" t="s">
        <v>62</v>
      </c>
      <c r="C21" s="0" t="s">
        <v>5</v>
      </c>
      <c r="D21" s="6" t="n">
        <v>100000</v>
      </c>
      <c r="E21" s="6" t="n">
        <f aca="false">(D21*0.025)</f>
        <v>2500</v>
      </c>
      <c r="F21" s="6" t="n">
        <f aca="false">IF(D21&gt;80000, D21*8%+10000,0)</f>
        <v>18000</v>
      </c>
      <c r="G21" s="6" t="n">
        <f aca="false">SUM(D21,E21)</f>
        <v>102500</v>
      </c>
      <c r="H21" s="6" t="n">
        <f aca="false">SUM(G21,F21)</f>
        <v>120500</v>
      </c>
      <c r="I21" s="6" t="n">
        <f aca="false">VLOOKUP(C21,'Qualifying Salary'!$A$2:$B$5,2,1)</f>
        <v>250000</v>
      </c>
      <c r="J21" s="0" t="str">
        <f aca="false">IF(D21&gt;I21,"Qualified","Not Qualified")</f>
        <v>Not Qualified</v>
      </c>
      <c r="K21" s="6" t="n">
        <v>345645</v>
      </c>
      <c r="L21" s="6" t="n">
        <f aca="false">PMT(0.006,60,-K21,0,0)</f>
        <v>6876.8474358521</v>
      </c>
      <c r="M21" s="6" t="n">
        <v>567</v>
      </c>
      <c r="N21" s="6" t="n">
        <f aca="false">PMT(0.004,18,-M21,0,0)</f>
        <v>32.7105377715808</v>
      </c>
      <c r="O21" s="6" t="n">
        <v>6000</v>
      </c>
      <c r="P21" s="7" t="n">
        <f aca="false">SUM(K21:O21)</f>
        <v>359121.557973624</v>
      </c>
      <c r="Q21" s="7" t="n">
        <f aca="false">P21-H21</f>
        <v>238621.557973624</v>
      </c>
      <c r="R21" s="0" t="str">
        <f aca="false">IF(P21&gt;(H21*0.5),"Approved", "Not Approved")</f>
        <v>Approved</v>
      </c>
    </row>
    <row r="22" customFormat="false" ht="13.8" hidden="false" customHeight="false" outlineLevel="0" collapsed="false">
      <c r="A22" s="0" t="s">
        <v>63</v>
      </c>
      <c r="B22" s="0" t="s">
        <v>64</v>
      </c>
      <c r="C22" s="0" t="s">
        <v>5</v>
      </c>
      <c r="D22" s="6" t="n">
        <v>100000</v>
      </c>
      <c r="E22" s="6" t="n">
        <f aca="false">(D22*0.025)</f>
        <v>2500</v>
      </c>
      <c r="F22" s="6" t="n">
        <f aca="false">IF(D22&gt;80000, D22*8%+10000,0)</f>
        <v>18000</v>
      </c>
      <c r="G22" s="6" t="n">
        <f aca="false">SUM(D22,E22)</f>
        <v>102500</v>
      </c>
      <c r="H22" s="6" t="n">
        <f aca="false">SUM(G22,F22)</f>
        <v>120500</v>
      </c>
      <c r="I22" s="6" t="n">
        <f aca="false">VLOOKUP(C22,'Qualifying Salary'!$A$2:$B$5,2,1)</f>
        <v>250000</v>
      </c>
      <c r="J22" s="0" t="str">
        <f aca="false">IF(D22&gt;I22,"Qualified","Not Qualified")</f>
        <v>Not Qualified</v>
      </c>
      <c r="K22" s="6" t="n">
        <v>345646</v>
      </c>
      <c r="L22" s="6" t="n">
        <f aca="false">PMT(0.006,60,-K22,0,0)</f>
        <v>6876.86733154692</v>
      </c>
      <c r="M22" s="6" t="n">
        <v>3567</v>
      </c>
      <c r="N22" s="6" t="n">
        <f aca="false">PMT(0.004,18,-M22,0,0)</f>
        <v>205.782166192643</v>
      </c>
      <c r="O22" s="6" t="n">
        <v>6000</v>
      </c>
      <c r="P22" s="7" t="n">
        <f aca="false">SUM(K22:O22)</f>
        <v>362295.64949774</v>
      </c>
      <c r="Q22" s="7" t="n">
        <f aca="false">P22-H22</f>
        <v>241795.64949774</v>
      </c>
      <c r="R22" s="0" t="str">
        <f aca="false">IF(P22&gt;(H22*0.5),"Approved", "Not Approved")</f>
        <v>Approved</v>
      </c>
    </row>
    <row r="23" customFormat="false" ht="13.8" hidden="false" customHeight="false" outlineLevel="0" collapsed="false">
      <c r="A23" s="0" t="s">
        <v>65</v>
      </c>
      <c r="B23" s="0" t="s">
        <v>66</v>
      </c>
      <c r="C23" s="0" t="s">
        <v>5</v>
      </c>
      <c r="D23" s="6" t="n">
        <v>7063656</v>
      </c>
      <c r="E23" s="6" t="n">
        <f aca="false">(D23*0.025)</f>
        <v>176591.4</v>
      </c>
      <c r="F23" s="6" t="n">
        <f aca="false">IF(D23&gt;80000, D23*8%+10000,0)</f>
        <v>575092.48</v>
      </c>
      <c r="G23" s="6" t="n">
        <f aca="false">SUM(D23,E23)</f>
        <v>7240247.4</v>
      </c>
      <c r="H23" s="6" t="n">
        <f aca="false">SUM(G23,F23)</f>
        <v>7815339.88</v>
      </c>
      <c r="I23" s="6" t="n">
        <f aca="false">VLOOKUP(C23,'Qualifying Salary'!$A$2:$B$5,2,1)</f>
        <v>250000</v>
      </c>
      <c r="J23" s="0" t="str">
        <f aca="false">IF(D23&gt;I23,"Qualified","Not Qualified")</f>
        <v>Qualified</v>
      </c>
      <c r="K23" s="6" t="n">
        <v>384202</v>
      </c>
      <c r="L23" s="6" t="n">
        <f aca="false">PMT(0.006,60,-K23,0,0)</f>
        <v>7643.96574100377</v>
      </c>
      <c r="M23" s="6" t="n">
        <v>361</v>
      </c>
      <c r="N23" s="6" t="n">
        <f aca="false">PMT(0.004,18,-M23,0,0)</f>
        <v>20.8262859533345</v>
      </c>
      <c r="O23" s="6" t="n">
        <v>6005</v>
      </c>
      <c r="P23" s="7" t="n">
        <f aca="false">SUM(K23:O23)</f>
        <v>398232.792026957</v>
      </c>
      <c r="Q23" s="7" t="n">
        <f aca="false">P23-H23</f>
        <v>-7417107.08797304</v>
      </c>
      <c r="R23" s="0" t="str">
        <f aca="false">IF(P23&gt;(H23*0.5),"Approved", "Not Approved")</f>
        <v>Not Approved</v>
      </c>
    </row>
    <row r="24" customFormat="false" ht="13.8" hidden="false" customHeight="false" outlineLevel="0" collapsed="false">
      <c r="A24" s="0" t="s">
        <v>67</v>
      </c>
      <c r="B24" s="0" t="s">
        <v>68</v>
      </c>
      <c r="C24" s="0" t="s">
        <v>5</v>
      </c>
      <c r="D24" s="6" t="n">
        <v>7487698</v>
      </c>
      <c r="E24" s="6" t="n">
        <f aca="false">(D24*0.025)</f>
        <v>187192.45</v>
      </c>
      <c r="F24" s="6" t="n">
        <f aca="false">IF(D24&gt;80000, D24*8%+10000,0)</f>
        <v>609015.84</v>
      </c>
      <c r="G24" s="6" t="n">
        <f aca="false">SUM(D24,E24)</f>
        <v>7674890.45</v>
      </c>
      <c r="H24" s="6" t="n">
        <f aca="false">SUM(G24,F24)</f>
        <v>8283906.29</v>
      </c>
      <c r="I24" s="6" t="n">
        <f aca="false">VLOOKUP(C24,'Qualifying Salary'!$A$2:$B$5,2,1)</f>
        <v>250000</v>
      </c>
      <c r="J24" s="0" t="str">
        <f aca="false">IF(D24&gt;I24,"Qualified","Not Qualified")</f>
        <v>Qualified</v>
      </c>
      <c r="K24" s="6" t="n">
        <v>387303</v>
      </c>
      <c r="L24" s="6" t="n">
        <f aca="false">PMT(0.006,60,-K24,0,0)</f>
        <v>7705.66229063874</v>
      </c>
      <c r="M24" s="6" t="n">
        <v>362</v>
      </c>
      <c r="N24" s="6" t="n">
        <f aca="false">PMT(0.004,18,-M24,0,0)</f>
        <v>20.8839764961416</v>
      </c>
      <c r="O24" s="6" t="n">
        <v>6006</v>
      </c>
      <c r="P24" s="7" t="n">
        <f aca="false">SUM(K24:O24)</f>
        <v>401397.546267135</v>
      </c>
      <c r="Q24" s="7" t="n">
        <f aca="false">P24-H24</f>
        <v>-7882508.74373287</v>
      </c>
      <c r="R24" s="0" t="str">
        <f aca="false">IF(P24&gt;(H24*0.5),"Approved", "Not Approved")</f>
        <v>Not Approved</v>
      </c>
    </row>
    <row r="25" customFormat="false" ht="13.8" hidden="false" customHeight="false" outlineLevel="0" collapsed="false">
      <c r="A25" s="0" t="s">
        <v>69</v>
      </c>
      <c r="B25" s="0" t="s">
        <v>70</v>
      </c>
      <c r="C25" s="0" t="s">
        <v>5</v>
      </c>
      <c r="D25" s="6" t="n">
        <v>8759824</v>
      </c>
      <c r="E25" s="6" t="n">
        <f aca="false">(D25*0.025)</f>
        <v>218995.6</v>
      </c>
      <c r="F25" s="6" t="n">
        <f aca="false">IF(D25&gt;80000, D25*8%+10000,0)</f>
        <v>710785.92</v>
      </c>
      <c r="G25" s="6" t="n">
        <f aca="false">SUM(D25,E25)</f>
        <v>8978819.6</v>
      </c>
      <c r="H25" s="6" t="n">
        <f aca="false">SUM(G25,F25)</f>
        <v>9689605.52</v>
      </c>
      <c r="I25" s="6" t="n">
        <f aca="false">VLOOKUP(C25,'Qualifying Salary'!$A$2:$B$5,2,1)</f>
        <v>250000</v>
      </c>
      <c r="J25" s="0" t="str">
        <f aca="false">IF(D25&gt;I25,"Qualified","Not Qualified")</f>
        <v>Qualified</v>
      </c>
      <c r="K25" s="6" t="n">
        <v>396606</v>
      </c>
      <c r="L25" s="6" t="n">
        <f aca="false">PMT(0.006,60,-K25,0,0)</f>
        <v>7890.75193954363</v>
      </c>
      <c r="M25" s="6" t="n">
        <v>365</v>
      </c>
      <c r="N25" s="6" t="n">
        <f aca="false">PMT(0.004,18,-M25,0,0)</f>
        <v>21.0570481245626</v>
      </c>
      <c r="O25" s="6" t="n">
        <v>6009</v>
      </c>
      <c r="P25" s="7" t="n">
        <f aca="false">SUM(K25:O25)</f>
        <v>410891.808987668</v>
      </c>
      <c r="Q25" s="7" t="n">
        <f aca="false">P25-H25</f>
        <v>-9278713.71101233</v>
      </c>
      <c r="R25" s="0" t="str">
        <f aca="false">IF(P25&gt;(H25*0.5),"Approved", "Not Approved")</f>
        <v>Not Approved</v>
      </c>
    </row>
    <row r="26" customFormat="false" ht="13.8" hidden="false" customHeight="false" outlineLevel="0" collapsed="false">
      <c r="A26" s="0" t="s">
        <v>71</v>
      </c>
      <c r="B26" s="0" t="s">
        <v>72</v>
      </c>
      <c r="C26" s="0" t="s">
        <v>5</v>
      </c>
      <c r="D26" s="6" t="n">
        <v>24624363</v>
      </c>
      <c r="E26" s="6" t="n">
        <f aca="false">(D26*0.025)</f>
        <v>615609.075</v>
      </c>
      <c r="F26" s="6" t="n">
        <f aca="false">IF(D26&gt;80000, D26*8%+10000,0)</f>
        <v>1979949.04</v>
      </c>
      <c r="G26" s="6" t="n">
        <f aca="false">SUM(D26,E26)</f>
        <v>25239972.075</v>
      </c>
      <c r="H26" s="6" t="n">
        <f aca="false">SUM(G26,F26)</f>
        <v>27219921.115</v>
      </c>
      <c r="I26" s="6" t="n">
        <f aca="false">VLOOKUP(C26,'Qualifying Salary'!$A$2:$B$5,2,1)</f>
        <v>250000</v>
      </c>
      <c r="J26" s="0" t="str">
        <f aca="false">IF(D26&gt;I26,"Qualified","Not Qualified")</f>
        <v>Qualified</v>
      </c>
      <c r="K26" s="6" t="n">
        <v>435734</v>
      </c>
      <c r="L26" s="6" t="n">
        <f aca="false">PMT(0.006,60,-K26,0,0)</f>
        <v>8669.23068643718</v>
      </c>
      <c r="M26" s="6" t="n">
        <v>34534</v>
      </c>
      <c r="N26" s="6" t="n">
        <f aca="false">PMT(0.004,18,-M26,0,0)</f>
        <v>1992.28520529766</v>
      </c>
      <c r="O26" s="6" t="n">
        <v>6000</v>
      </c>
      <c r="P26" s="7" t="n">
        <f aca="false">SUM(K26:O26)</f>
        <v>486929.515891735</v>
      </c>
      <c r="Q26" s="7" t="n">
        <f aca="false">P26-H26</f>
        <v>-26732991.5991083</v>
      </c>
      <c r="R26" s="0" t="str">
        <f aca="false">IF(P26&gt;(H26*0.5),"Approved", "Not Approved")</f>
        <v>Not Approved</v>
      </c>
    </row>
    <row r="27" customFormat="false" ht="13.8" hidden="false" customHeight="false" outlineLevel="0" collapsed="false">
      <c r="A27" s="0" t="s">
        <v>73</v>
      </c>
      <c r="B27" s="0" t="s">
        <v>74</v>
      </c>
      <c r="C27" s="0" t="s">
        <v>5</v>
      </c>
      <c r="D27" s="6" t="n">
        <v>23523624</v>
      </c>
      <c r="E27" s="6" t="n">
        <f aca="false">(D27*0.025)</f>
        <v>588090.6</v>
      </c>
      <c r="F27" s="6" t="n">
        <f aca="false">IF(D27&gt;80000, D27*8%+10000,0)</f>
        <v>1891889.92</v>
      </c>
      <c r="G27" s="6" t="n">
        <f aca="false">SUM(D27,E27)</f>
        <v>24111714.6</v>
      </c>
      <c r="H27" s="6" t="n">
        <f aca="false">SUM(G27,F27)</f>
        <v>26003604.52</v>
      </c>
      <c r="I27" s="6" t="n">
        <f aca="false">VLOOKUP(C27,'Qualifying Salary'!$A$2:$B$5,2,1)</f>
        <v>250000</v>
      </c>
      <c r="J27" s="0" t="str">
        <f aca="false">IF(D27&gt;I27,"Qualified","Not Qualified")</f>
        <v>Qualified</v>
      </c>
      <c r="K27" s="6" t="n">
        <v>504000</v>
      </c>
      <c r="L27" s="6" t="n">
        <f aca="false">PMT(0.006,60,-K27,0,0)</f>
        <v>10027.4301889785</v>
      </c>
      <c r="M27" s="6" t="n">
        <v>657</v>
      </c>
      <c r="N27" s="6" t="n">
        <f aca="false">PMT(0.004,18,-M27,0,0)</f>
        <v>37.9026866242127</v>
      </c>
      <c r="O27" s="6" t="n">
        <v>6000</v>
      </c>
      <c r="P27" s="7" t="n">
        <f aca="false">SUM(K27:O27)</f>
        <v>520722.332875603</v>
      </c>
      <c r="Q27" s="7" t="n">
        <f aca="false">P27-H27</f>
        <v>-25482882.1871244</v>
      </c>
      <c r="R27" s="0" t="str">
        <f aca="false">IF(P27&gt;(H27*0.5),"Approved", "Not Approved")</f>
        <v>Not Approved</v>
      </c>
    </row>
    <row r="28" customFormat="false" ht="13.8" hidden="false" customHeight="false" outlineLevel="0" collapsed="false">
      <c r="A28" s="0" t="s">
        <v>75</v>
      </c>
      <c r="B28" s="0" t="s">
        <v>76</v>
      </c>
      <c r="C28" s="0" t="s">
        <v>5</v>
      </c>
      <c r="D28" s="6" t="n">
        <v>100000</v>
      </c>
      <c r="E28" s="6" t="n">
        <f aca="false">(D28*0.025)</f>
        <v>2500</v>
      </c>
      <c r="F28" s="6" t="n">
        <f aca="false">IF(D28&gt;80000, D28*8%+10000,0)</f>
        <v>18000</v>
      </c>
      <c r="G28" s="6" t="n">
        <f aca="false">SUM(D28,E28)</f>
        <v>102500</v>
      </c>
      <c r="H28" s="6" t="n">
        <f aca="false">SUM(G28,F28)</f>
        <v>120500</v>
      </c>
      <c r="I28" s="6" t="n">
        <f aca="false">VLOOKUP(C28,'Qualifying Salary'!$A$2:$B$5,2,1)</f>
        <v>250000</v>
      </c>
      <c r="J28" s="0" t="str">
        <f aca="false">IF(D28&gt;I28,"Qualified","Not Qualified")</f>
        <v>Not Qualified</v>
      </c>
      <c r="K28" s="6" t="n">
        <v>512000</v>
      </c>
      <c r="L28" s="6" t="n">
        <f aca="false">PMT(0.006,60,-K28,0,0)</f>
        <v>10186.5957475337</v>
      </c>
      <c r="M28" s="6" t="n">
        <v>45645</v>
      </c>
      <c r="N28" s="6" t="n">
        <f aca="false">PMT(0.004,18,-M28,0,0)</f>
        <v>2633.28482642647</v>
      </c>
      <c r="O28" s="6" t="n">
        <v>6000</v>
      </c>
      <c r="P28" s="7" t="n">
        <f aca="false">SUM(K28:O28)</f>
        <v>576464.88057396</v>
      </c>
      <c r="Q28" s="7" t="n">
        <f aca="false">P28-H28</f>
        <v>455964.88057396</v>
      </c>
      <c r="R28" s="0" t="str">
        <f aca="false">IF(P28&gt;(H28*0.5),"Approved", "Not Approved")</f>
        <v>Approved</v>
      </c>
    </row>
    <row r="29" customFormat="false" ht="13.8" hidden="false" customHeight="false" outlineLevel="0" collapsed="false">
      <c r="A29" s="0" t="s">
        <v>77</v>
      </c>
      <c r="B29" s="0" t="s">
        <v>40</v>
      </c>
      <c r="C29" s="0" t="s">
        <v>5</v>
      </c>
      <c r="D29" s="6" t="n">
        <v>4239846</v>
      </c>
      <c r="E29" s="6" t="n">
        <f aca="false">(D29*0.025)</f>
        <v>105996.15</v>
      </c>
      <c r="F29" s="6" t="n">
        <f aca="false">IF(D29&gt;80000, D29*8%+10000,0)</f>
        <v>349187.68</v>
      </c>
      <c r="G29" s="6" t="n">
        <f aca="false">SUM(D29,E29)</f>
        <v>4345842.15</v>
      </c>
      <c r="H29" s="6" t="n">
        <f aca="false">SUM(G29,F29)</f>
        <v>4695029.83</v>
      </c>
      <c r="I29" s="6" t="n">
        <f aca="false">VLOOKUP(C29,'Qualifying Salary'!$A$2:$B$5,2,1)</f>
        <v>250000</v>
      </c>
      <c r="J29" s="0" t="str">
        <f aca="false">IF(D29&gt;I29,"Qualified","Not Qualified")</f>
        <v>Qualified</v>
      </c>
      <c r="K29" s="6" t="n">
        <v>530000</v>
      </c>
      <c r="L29" s="6" t="n">
        <f aca="false">PMT(0.006,60,-K29,0,0)</f>
        <v>10544.7182542829</v>
      </c>
      <c r="M29" s="6" t="n">
        <v>3567</v>
      </c>
      <c r="N29" s="6" t="n">
        <f aca="false">PMT(0.004,18,-M29,0,0)</f>
        <v>205.782166192643</v>
      </c>
      <c r="O29" s="6" t="n">
        <v>6000</v>
      </c>
      <c r="P29" s="7" t="n">
        <f aca="false">SUM(K29:O29)</f>
        <v>550317.500420476</v>
      </c>
      <c r="Q29" s="7" t="n">
        <f aca="false">P29-H29</f>
        <v>-4144712.32957952</v>
      </c>
      <c r="R29" s="0" t="str">
        <f aca="false">IF(P29&gt;(H29*0.5),"Approved", "Not Approved")</f>
        <v>Not Approved</v>
      </c>
    </row>
    <row r="30" customFormat="false" ht="13.8" hidden="false" customHeight="false" outlineLevel="0" collapsed="false">
      <c r="A30" s="0" t="s">
        <v>27</v>
      </c>
      <c r="B30" s="0" t="s">
        <v>78</v>
      </c>
      <c r="C30" s="0" t="s">
        <v>5</v>
      </c>
      <c r="D30" s="6" t="n">
        <v>16439711</v>
      </c>
      <c r="E30" s="6" t="n">
        <f aca="false">(D30*0.025)</f>
        <v>410992.775</v>
      </c>
      <c r="F30" s="6" t="n">
        <f aca="false">IF(D30&gt;80000, D30*8%+10000,0)</f>
        <v>1325176.88</v>
      </c>
      <c r="G30" s="6" t="n">
        <f aca="false">SUM(D30,E30)</f>
        <v>16850703.775</v>
      </c>
      <c r="H30" s="6" t="n">
        <f aca="false">SUM(G30,F30)</f>
        <v>18175880.655</v>
      </c>
      <c r="I30" s="6" t="n">
        <f aca="false">VLOOKUP(C30,'Qualifying Salary'!$A$2:$B$5,2,1)</f>
        <v>250000</v>
      </c>
      <c r="J30" s="0" t="str">
        <f aca="false">IF(D30&gt;I30,"Qualified","Not Qualified")</f>
        <v>Qualified</v>
      </c>
      <c r="K30" s="6" t="n">
        <v>534001</v>
      </c>
      <c r="L30" s="6" t="n">
        <f aca="false">PMT(0.006,60,-K30,0,0)</f>
        <v>10624.3209292553</v>
      </c>
      <c r="M30" s="6" t="n">
        <v>357</v>
      </c>
      <c r="N30" s="6" t="n">
        <f aca="false">PMT(0.004,18,-M30,0,0)</f>
        <v>20.5955237821065</v>
      </c>
      <c r="O30" s="6" t="n">
        <v>6001</v>
      </c>
      <c r="P30" s="7" t="n">
        <f aca="false">SUM(K30:O30)</f>
        <v>551003.916453037</v>
      </c>
      <c r="Q30" s="7" t="n">
        <f aca="false">P30-H30</f>
        <v>-17624876.738547</v>
      </c>
      <c r="R30" s="0" t="str">
        <f aca="false">IF(P30&gt;(H30*0.5),"Approved", "Not Approved")</f>
        <v>Not Approved</v>
      </c>
    </row>
    <row r="31" customFormat="false" ht="13.8" hidden="false" customHeight="false" outlineLevel="0" collapsed="false">
      <c r="A31" s="0" t="s">
        <v>79</v>
      </c>
      <c r="B31" s="0" t="s">
        <v>80</v>
      </c>
      <c r="C31" s="0" t="s">
        <v>5</v>
      </c>
      <c r="D31" s="6" t="n">
        <v>9607909</v>
      </c>
      <c r="E31" s="6" t="n">
        <f aca="false">(D31*0.025)</f>
        <v>240197.725</v>
      </c>
      <c r="F31" s="6" t="n">
        <f aca="false">IF(D31&gt;80000, D31*8%+10000,0)</f>
        <v>778632.72</v>
      </c>
      <c r="G31" s="6" t="n">
        <f aca="false">SUM(D31,E31)</f>
        <v>9848106.725</v>
      </c>
      <c r="H31" s="6" t="n">
        <f aca="false">SUM(G31,F31)</f>
        <v>10626739.445</v>
      </c>
      <c r="I31" s="6" t="n">
        <f aca="false">VLOOKUP(C31,'Qualifying Salary'!$A$2:$B$5,2,1)</f>
        <v>250000</v>
      </c>
      <c r="J31" s="0" t="str">
        <f aca="false">IF(D31&gt;I31,"Qualified","Not Qualified")</f>
        <v>Qualified</v>
      </c>
      <c r="K31" s="6" t="n">
        <v>402809</v>
      </c>
      <c r="L31" s="6" t="n">
        <f aca="false">PMT(0.006,60,-K31,0,0)</f>
        <v>8014.16493450838</v>
      </c>
      <c r="M31" s="6" t="n">
        <v>368</v>
      </c>
      <c r="N31" s="6" t="n">
        <f aca="false">PMT(0.004,18,-M31,0,0)</f>
        <v>21.2301197529837</v>
      </c>
      <c r="O31" s="6" t="n">
        <v>6012</v>
      </c>
      <c r="P31" s="7" t="n">
        <f aca="false">SUM(K31:O31)</f>
        <v>417224.395054261</v>
      </c>
      <c r="Q31" s="7" t="n">
        <f aca="false">P31-H31</f>
        <v>-10209515.0499457</v>
      </c>
      <c r="R31" s="0" t="str">
        <f aca="false">IF(P31&gt;(H31*0.5),"Approved", "Not Approved")</f>
        <v>Not Approved</v>
      </c>
    </row>
    <row r="32" customFormat="false" ht="13.8" hidden="false" customHeight="false" outlineLevel="0" collapsed="false"/>
    <row r="33" customFormat="false" ht="13.8" hidden="false" customHeight="false" outlineLevel="0" collapsed="false"/>
    <row r="34" customFormat="false" ht="13.8" hidden="false" customHeight="false" outlineLevel="0" collapsed="false">
      <c r="D34" s="0" t="s">
        <v>3</v>
      </c>
      <c r="E34" s="7" t="n">
        <f aca="false">SUM(H2:H10)</f>
        <v>87355751.755</v>
      </c>
    </row>
    <row r="35" customFormat="false" ht="13.8" hidden="false" customHeight="false" outlineLevel="0" collapsed="false">
      <c r="C35" s="6"/>
      <c r="D35" s="6" t="s">
        <v>4</v>
      </c>
      <c r="E35" s="7" t="n">
        <f aca="false">SUM(H11:H19)</f>
        <v>143067874.91</v>
      </c>
      <c r="F35" s="6"/>
      <c r="G35" s="6"/>
      <c r="H35" s="6"/>
      <c r="J35" s="6"/>
      <c r="K35" s="6"/>
      <c r="L35" s="6"/>
      <c r="M35" s="8"/>
      <c r="N35" s="6"/>
      <c r="O35" s="7"/>
    </row>
    <row r="36" customFormat="false" ht="13.8" hidden="false" customHeight="false" outlineLevel="0" collapsed="false">
      <c r="D36" s="0" t="s">
        <v>5</v>
      </c>
      <c r="E36" s="7" t="n">
        <f aca="false">SUM(H20:H31)</f>
        <v>137191527.255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4B183"/>
    <pageSetUpPr fitToPage="false"/>
  </sheetPr>
  <dimension ref="A1:Q37"/>
  <sheetViews>
    <sheetView showFormulas="false" showGridLines="true" showRowColHeaders="true" showZeros="true" rightToLeft="false" tabSelected="false" showOutlineSymbols="true" defaultGridColor="true" view="normal" topLeftCell="A20" colorId="64" zoomScale="85" zoomScaleNormal="85" zoomScalePageLayoutView="100" workbookViewId="0">
      <selection pane="topLeft" activeCell="D42" activeCellId="0" sqref="D42"/>
    </sheetView>
  </sheetViews>
  <sheetFormatPr defaultColWidth="8.59765625" defaultRowHeight="12.8" zeroHeight="false" outlineLevelRow="0" outlineLevelCol="0"/>
  <cols>
    <col collapsed="false" customWidth="true" hidden="false" outlineLevel="0" max="1" min="1" style="0" width="10.57"/>
    <col collapsed="false" customWidth="true" hidden="false" outlineLevel="0" max="2" min="2" style="0" width="11.72"/>
    <col collapsed="false" customWidth="true" hidden="false" outlineLevel="0" max="3" min="3" style="0" width="16.29"/>
    <col collapsed="false" customWidth="true" hidden="false" outlineLevel="0" max="4" min="4" style="0" width="20.86"/>
    <col collapsed="false" customWidth="true" hidden="false" outlineLevel="0" max="5" min="5" style="0" width="21"/>
    <col collapsed="false" customWidth="true" hidden="false" outlineLevel="0" max="6" min="6" style="0" width="15.28"/>
    <col collapsed="false" customWidth="true" hidden="false" outlineLevel="0" max="7" min="7" style="0" width="20"/>
    <col collapsed="false" customWidth="true" hidden="false" outlineLevel="0" max="8" min="8" style="0" width="16.72"/>
    <col collapsed="false" customWidth="true" hidden="false" outlineLevel="0" max="9" min="9" style="0" width="17"/>
    <col collapsed="false" customWidth="true" hidden="false" outlineLevel="0" max="10" min="10" style="0" width="18.43"/>
    <col collapsed="false" customWidth="true" hidden="false" outlineLevel="0" max="11" min="11" style="0" width="24.57"/>
    <col collapsed="false" customWidth="true" hidden="false" outlineLevel="0" max="12" min="12" style="0" width="24"/>
    <col collapsed="false" customWidth="true" hidden="false" outlineLevel="0" max="13" min="13" style="0" width="30.29"/>
    <col collapsed="false" customWidth="true" hidden="false" outlineLevel="0" max="14" min="14" style="0" width="19"/>
    <col collapsed="false" customWidth="true" hidden="false" outlineLevel="0" max="15" min="15" style="0" width="20.29"/>
    <col collapsed="false" customWidth="true" hidden="false" outlineLevel="0" max="16" min="16" style="0" width="15.57"/>
  </cols>
  <sheetData>
    <row r="1" customFormat="false" ht="29.25" hidden="false" customHeight="true" outlineLevel="0" collapsed="false"/>
    <row r="2" customFormat="false" ht="13.8" hidden="false" customHeight="false" outlineLevel="0" collapsed="false">
      <c r="A2" s="5" t="s">
        <v>6</v>
      </c>
      <c r="B2" s="5" t="s">
        <v>7</v>
      </c>
      <c r="C2" s="5" t="s">
        <v>8</v>
      </c>
      <c r="D2" s="5" t="s">
        <v>9</v>
      </c>
      <c r="E2" s="5" t="s">
        <v>10</v>
      </c>
      <c r="F2" s="5" t="s">
        <v>11</v>
      </c>
      <c r="G2" s="5" t="s">
        <v>12</v>
      </c>
      <c r="H2" s="5" t="s">
        <v>13</v>
      </c>
      <c r="I2" s="5" t="s">
        <v>0</v>
      </c>
      <c r="J2" s="5" t="s">
        <v>14</v>
      </c>
      <c r="K2" s="5" t="s">
        <v>15</v>
      </c>
      <c r="L2" s="5" t="s">
        <v>16</v>
      </c>
      <c r="M2" s="5" t="s">
        <v>17</v>
      </c>
      <c r="N2" s="5" t="s">
        <v>18</v>
      </c>
      <c r="O2" s="5" t="s">
        <v>19</v>
      </c>
      <c r="P2" s="5" t="s">
        <v>20</v>
      </c>
      <c r="Q2" s="5" t="s">
        <v>22</v>
      </c>
    </row>
    <row r="3" customFormat="false" ht="13.8" hidden="false" customHeight="false" outlineLevel="0" collapsed="false">
      <c r="A3" s="0" t="s">
        <v>23</v>
      </c>
      <c r="B3" s="0" t="s">
        <v>24</v>
      </c>
      <c r="C3" s="0" t="s">
        <v>3</v>
      </c>
      <c r="D3" s="6" t="n">
        <v>235562</v>
      </c>
      <c r="E3" s="6" t="n">
        <f aca="false">(D3*0.025)</f>
        <v>5889.05</v>
      </c>
      <c r="F3" s="6" t="n">
        <v>100</v>
      </c>
      <c r="G3" s="6" t="n">
        <f aca="false">SUM(D3,E3)</f>
        <v>241451.05</v>
      </c>
      <c r="H3" s="6" t="n">
        <f aca="false">SUM(G3,F3)</f>
        <v>241551.05</v>
      </c>
      <c r="I3" s="6" t="n">
        <f aca="false">VLOOKUP(C3,'Qualifying Salary'!$A$2:$B$5,2,1)</f>
        <v>350000</v>
      </c>
      <c r="J3" s="0" t="str">
        <f aca="false">IF(D3&gt;I3,"Qualified","Not Qualified")</f>
        <v>Not Qualified</v>
      </c>
      <c r="K3" s="6" t="n">
        <v>3456</v>
      </c>
      <c r="L3" s="6" t="n">
        <f aca="false">PMT(0.006,60,-K3,0,0)</f>
        <v>68.7595212958523</v>
      </c>
      <c r="M3" s="6" t="n">
        <v>547</v>
      </c>
      <c r="N3" s="6" t="n">
        <f aca="false">PMT(0.004,18,-M3,0,0)</f>
        <v>31.5567269154404</v>
      </c>
      <c r="O3" s="6" t="n">
        <v>6000</v>
      </c>
      <c r="P3" s="7" t="n">
        <f aca="false">SUM(K3:O3)</f>
        <v>10103.3162482113</v>
      </c>
      <c r="Q3" s="0" t="str">
        <f aca="false">IF(P3&gt;(H3*0.5),"Approved", "Not Approved")</f>
        <v>Not Approved</v>
      </c>
    </row>
    <row r="4" customFormat="false" ht="13.8" hidden="false" customHeight="false" outlineLevel="0" collapsed="false">
      <c r="A4" s="0" t="s">
        <v>25</v>
      </c>
      <c r="B4" s="0" t="s">
        <v>26</v>
      </c>
      <c r="C4" s="0" t="s">
        <v>3</v>
      </c>
      <c r="D4" s="6" t="n">
        <v>100000</v>
      </c>
      <c r="E4" s="6" t="n">
        <f aca="false">(D4*0.025)</f>
        <v>2500</v>
      </c>
      <c r="F4" s="6" t="n">
        <v>100</v>
      </c>
      <c r="G4" s="6" t="n">
        <f aca="false">SUM(D4,E4)</f>
        <v>102500</v>
      </c>
      <c r="H4" s="6" t="n">
        <f aca="false">SUM(G4,F4)</f>
        <v>102600</v>
      </c>
      <c r="I4" s="6" t="n">
        <f aca="false">VLOOKUP(C4,'Qualifying Salary'!$A$2:$B$5,2,1)</f>
        <v>350000</v>
      </c>
      <c r="J4" s="0" t="str">
        <f aca="false">IF(D4&gt;I4,"Qualified","Not Qualified")</f>
        <v>Not Qualified</v>
      </c>
      <c r="K4" s="6" t="n">
        <v>45644</v>
      </c>
      <c r="L4" s="6" t="n">
        <f aca="false">PMT(0.006,60,-K4,0,0)</f>
        <v>908.119094336772</v>
      </c>
      <c r="M4" s="6" t="n">
        <v>34850</v>
      </c>
      <c r="N4" s="6" t="n">
        <f aca="false">PMT(0.004,18,-M4,0,0)</f>
        <v>2010.51541682468</v>
      </c>
      <c r="O4" s="6" t="n">
        <v>6000</v>
      </c>
      <c r="P4" s="7" t="n">
        <f aca="false">SUM(K4:O4)</f>
        <v>89412.6345111615</v>
      </c>
      <c r="Q4" s="0" t="str">
        <f aca="false">IF(P4&gt;(H4*0.5),"Approved", "Not Approved")</f>
        <v>Approved</v>
      </c>
    </row>
    <row r="5" customFormat="false" ht="13.8" hidden="false" customHeight="false" outlineLevel="0" collapsed="false">
      <c r="A5" s="0" t="s">
        <v>27</v>
      </c>
      <c r="B5" s="0" t="s">
        <v>28</v>
      </c>
      <c r="C5" s="0" t="s">
        <v>3</v>
      </c>
      <c r="D5" s="6" t="n">
        <v>24653636</v>
      </c>
      <c r="E5" s="6" t="n">
        <f aca="false">(D5*0.025)</f>
        <v>616340.9</v>
      </c>
      <c r="F5" s="6" t="n">
        <v>100</v>
      </c>
      <c r="G5" s="6" t="n">
        <f aca="false">SUM(D5,E5)</f>
        <v>25269976.9</v>
      </c>
      <c r="H5" s="6" t="n">
        <f aca="false">SUM(G5,F5)</f>
        <v>25270076.9</v>
      </c>
      <c r="I5" s="6" t="n">
        <f aca="false">VLOOKUP(C5,'Qualifying Salary'!$A$2:$B$5,2,1)</f>
        <v>350000</v>
      </c>
      <c r="J5" s="0" t="str">
        <f aca="false">IF(D5&gt;I5,"Qualified","Not Qualified")</f>
        <v>Qualified</v>
      </c>
      <c r="K5" s="6" t="n">
        <v>345643</v>
      </c>
      <c r="L5" s="6" t="n">
        <f aca="false">PMT(0.006,60,-K5,0,0)</f>
        <v>6876.80764446246</v>
      </c>
      <c r="M5" s="6" t="n">
        <v>3673</v>
      </c>
      <c r="N5" s="6" t="n">
        <f aca="false">PMT(0.004,18,-M5,0,0)</f>
        <v>211.897363730188</v>
      </c>
      <c r="O5" s="6" t="n">
        <v>6000</v>
      </c>
      <c r="P5" s="7" t="n">
        <f aca="false">SUM(K5:O5)</f>
        <v>362404.705008193</v>
      </c>
      <c r="Q5" s="0" t="str">
        <f aca="false">IF(P5&gt;(H5*0.5),"Approved", "Not Approved")</f>
        <v>Not Approved</v>
      </c>
    </row>
    <row r="6" customFormat="false" ht="13.8" hidden="false" customHeight="false" outlineLevel="0" collapsed="false">
      <c r="A6" s="0" t="s">
        <v>29</v>
      </c>
      <c r="B6" s="0" t="s">
        <v>30</v>
      </c>
      <c r="C6" s="0" t="s">
        <v>3</v>
      </c>
      <c r="D6" s="6" t="n">
        <v>2235266</v>
      </c>
      <c r="E6" s="6" t="n">
        <f aca="false">(D6*0.025)</f>
        <v>55881.65</v>
      </c>
      <c r="F6" s="6" t="n">
        <v>100</v>
      </c>
      <c r="G6" s="6" t="n">
        <f aca="false">SUM(D6,E6)</f>
        <v>2291147.65</v>
      </c>
      <c r="H6" s="6" t="n">
        <f aca="false">SUM(G6,F6)</f>
        <v>2291247.65</v>
      </c>
      <c r="I6" s="6" t="n">
        <f aca="false">VLOOKUP(C6,'Qualifying Salary'!$A$2:$B$5,2,1)</f>
        <v>350000</v>
      </c>
      <c r="J6" s="0" t="str">
        <f aca="false">IF(D6&gt;I6,"Qualified","Not Qualified")</f>
        <v>Qualified</v>
      </c>
      <c r="K6" s="6" t="n">
        <v>345734</v>
      </c>
      <c r="L6" s="6" t="n">
        <f aca="false">PMT(0.006,60,-K6,0,0)</f>
        <v>6878.61815269103</v>
      </c>
      <c r="M6" s="6" t="n">
        <v>3453</v>
      </c>
      <c r="N6" s="6" t="n">
        <f aca="false">PMT(0.004,18,-M6,0,0)</f>
        <v>199.205444312643</v>
      </c>
      <c r="O6" s="6" t="n">
        <v>6000</v>
      </c>
      <c r="P6" s="7" t="n">
        <f aca="false">SUM(K6:O6)</f>
        <v>362264.823597004</v>
      </c>
      <c r="Q6" s="0" t="str">
        <f aca="false">IF(P6&gt;(H6*0.5),"Approved", "Not Approved")</f>
        <v>Not Approved</v>
      </c>
    </row>
    <row r="7" customFormat="false" ht="13.8" hidden="false" customHeight="false" outlineLevel="0" collapsed="false">
      <c r="A7" s="0" t="s">
        <v>31</v>
      </c>
      <c r="B7" s="0" t="s">
        <v>32</v>
      </c>
      <c r="C7" s="0" t="s">
        <v>3</v>
      </c>
      <c r="D7" s="6" t="n">
        <v>38042888</v>
      </c>
      <c r="E7" s="6" t="n">
        <f aca="false">(D7*0.025)</f>
        <v>951072.2</v>
      </c>
      <c r="F7" s="6" t="n">
        <v>100</v>
      </c>
      <c r="G7" s="6" t="n">
        <f aca="false">SUM(D7,E7)</f>
        <v>38993960.2</v>
      </c>
      <c r="H7" s="6" t="n">
        <f aca="false">SUM(G7,F7)</f>
        <v>38994060.2</v>
      </c>
      <c r="I7" s="6" t="n">
        <f aca="false">VLOOKUP(C7,'Qualifying Salary'!$A$2:$B$5,2,1)</f>
        <v>350000</v>
      </c>
      <c r="J7" s="0" t="str">
        <f aca="false">IF(D7&gt;I7,"Qualified","Not Qualified")</f>
        <v>Qualified</v>
      </c>
      <c r="K7" s="6" t="n">
        <v>381101</v>
      </c>
      <c r="L7" s="6" t="n">
        <f aca="false">PMT(0.006,60,-K7,0,0)</f>
        <v>7582.26919136881</v>
      </c>
      <c r="M7" s="6" t="n">
        <v>360</v>
      </c>
      <c r="N7" s="6" t="n">
        <f aca="false">PMT(0.004,18,-M7,0,0)</f>
        <v>20.7685954105275</v>
      </c>
      <c r="O7" s="6" t="n">
        <v>6004</v>
      </c>
      <c r="P7" s="7" t="n">
        <f aca="false">SUM(K7:O7)</f>
        <v>395068.037786779</v>
      </c>
      <c r="Q7" s="0" t="str">
        <f aca="false">IF(P7&gt;(H7*0.5),"Approved", "Not Approved")</f>
        <v>Not Approved</v>
      </c>
    </row>
    <row r="8" customFormat="false" ht="13.8" hidden="false" customHeight="false" outlineLevel="0" collapsed="false">
      <c r="A8" s="0" t="s">
        <v>33</v>
      </c>
      <c r="B8" s="0" t="s">
        <v>34</v>
      </c>
      <c r="C8" s="0" t="s">
        <v>3</v>
      </c>
      <c r="D8" s="6" t="n">
        <v>7911740</v>
      </c>
      <c r="E8" s="6" t="n">
        <f aca="false">(D8*0.025)</f>
        <v>197793.5</v>
      </c>
      <c r="F8" s="6" t="n">
        <v>100</v>
      </c>
      <c r="G8" s="6" t="n">
        <f aca="false">SUM(D8,E8)</f>
        <v>8109533.5</v>
      </c>
      <c r="H8" s="6" t="n">
        <f aca="false">SUM(G8,F8)</f>
        <v>8109633.5</v>
      </c>
      <c r="I8" s="6" t="n">
        <f aca="false">VLOOKUP(C8,'Qualifying Salary'!$A$2:$B$5,2,1)</f>
        <v>350000</v>
      </c>
      <c r="J8" s="0" t="str">
        <f aca="false">IF(D8&gt;I8,"Qualified","Not Qualified")</f>
        <v>Qualified</v>
      </c>
      <c r="K8" s="6" t="n">
        <v>390404</v>
      </c>
      <c r="L8" s="6" t="n">
        <f aca="false">PMT(0.006,60,-K8,0,0)</f>
        <v>7767.3588402737</v>
      </c>
      <c r="M8" s="6" t="n">
        <v>363</v>
      </c>
      <c r="N8" s="6" t="n">
        <f aca="false">PMT(0.004,18,-M8,0,0)</f>
        <v>20.9416670389486</v>
      </c>
      <c r="O8" s="6" t="n">
        <v>6007</v>
      </c>
      <c r="P8" s="7" t="n">
        <f aca="false">SUM(K8:O8)</f>
        <v>404562.300507313</v>
      </c>
      <c r="Q8" s="0" t="str">
        <f aca="false">IF(P8&gt;(H8*0.5),"Approved", "Not Approved")</f>
        <v>Not Approved</v>
      </c>
    </row>
    <row r="9" customFormat="false" ht="13.8" hidden="false" customHeight="false" outlineLevel="0" collapsed="false">
      <c r="A9" s="0" t="s">
        <v>35</v>
      </c>
      <c r="B9" s="0" t="s">
        <v>36</v>
      </c>
      <c r="C9" s="0" t="s">
        <v>3</v>
      </c>
      <c r="D9" s="6" t="n">
        <v>100000</v>
      </c>
      <c r="E9" s="6" t="n">
        <f aca="false">(D9*0.025)</f>
        <v>2500</v>
      </c>
      <c r="F9" s="6" t="n">
        <v>100</v>
      </c>
      <c r="G9" s="6" t="n">
        <f aca="false">SUM(D9,E9)</f>
        <v>102500</v>
      </c>
      <c r="H9" s="6" t="n">
        <f aca="false">SUM(G9,F9)</f>
        <v>102600</v>
      </c>
      <c r="I9" s="6" t="n">
        <f aca="false">VLOOKUP(C9,'Qualifying Salary'!$A$2:$B$5,2,1)</f>
        <v>350000</v>
      </c>
      <c r="J9" s="0" t="str">
        <f aca="false">IF(D9&gt;I9,"Qualified","Not Qualified")</f>
        <v>Not Qualified</v>
      </c>
      <c r="K9" s="6" t="n">
        <v>500000</v>
      </c>
      <c r="L9" s="6" t="n">
        <f aca="false">PMT(0.006,60,-K9,0,0)</f>
        <v>9947.84740970085</v>
      </c>
      <c r="M9" s="6" t="n">
        <v>23423</v>
      </c>
      <c r="N9" s="6" t="n">
        <f aca="false">PMT(0.004,18,-M9,0,0)</f>
        <v>1351.28558416885</v>
      </c>
      <c r="O9" s="6" t="n">
        <v>6000</v>
      </c>
      <c r="P9" s="7" t="n">
        <f aca="false">SUM(K9:O9)</f>
        <v>540722.13299387</v>
      </c>
      <c r="Q9" s="0" t="str">
        <f aca="false">IF(P9&gt;(H9*0.5),"Approved", "Not Approved")</f>
        <v>Approved</v>
      </c>
    </row>
    <row r="10" customFormat="false" ht="13.8" hidden="false" customHeight="false" outlineLevel="0" collapsed="false">
      <c r="A10" s="0" t="s">
        <v>37</v>
      </c>
      <c r="B10" s="0" t="s">
        <v>38</v>
      </c>
      <c r="C10" s="0" t="s">
        <v>3</v>
      </c>
      <c r="D10" s="6" t="n">
        <v>3656846</v>
      </c>
      <c r="E10" s="6" t="n">
        <f aca="false">(D10*0.025)</f>
        <v>91421.15</v>
      </c>
      <c r="F10" s="6" t="n">
        <v>100</v>
      </c>
      <c r="G10" s="6" t="n">
        <f aca="false">SUM(D10,E10)</f>
        <v>3748267.15</v>
      </c>
      <c r="H10" s="6" t="n">
        <f aca="false">SUM(G10,F10)</f>
        <v>3748367.15</v>
      </c>
      <c r="I10" s="6" t="n">
        <f aca="false">VLOOKUP(C10,'Qualifying Salary'!$A$2:$B$5,2,1)</f>
        <v>350000</v>
      </c>
      <c r="J10" s="0" t="str">
        <f aca="false">IF(D10&gt;I10,"Qualified","Not Qualified")</f>
        <v>Qualified</v>
      </c>
      <c r="K10" s="6" t="n">
        <v>526000</v>
      </c>
      <c r="L10" s="6" t="n">
        <f aca="false">PMT(0.006,60,-K10,0,0)</f>
        <v>10465.1354750053</v>
      </c>
      <c r="M10" s="6" t="n">
        <v>35673</v>
      </c>
      <c r="N10" s="6" t="n">
        <f aca="false">PMT(0.004,18,-M10,0,0)</f>
        <v>2057.99473355486</v>
      </c>
      <c r="O10" s="6" t="n">
        <v>6000</v>
      </c>
      <c r="P10" s="7" t="n">
        <f aca="false">SUM(K10:O10)</f>
        <v>580196.13020856</v>
      </c>
      <c r="Q10" s="0" t="str">
        <f aca="false">IF(P10&gt;(H10*0.5),"Approved", "Not Approved")</f>
        <v>Not Approved</v>
      </c>
    </row>
    <row r="11" customFormat="false" ht="13.8" hidden="false" customHeight="false" outlineLevel="0" collapsed="false">
      <c r="A11" s="0" t="s">
        <v>39</v>
      </c>
      <c r="B11" s="0" t="s">
        <v>40</v>
      </c>
      <c r="C11" s="0" t="s">
        <v>3</v>
      </c>
      <c r="D11" s="6" t="n">
        <v>2037593</v>
      </c>
      <c r="E11" s="6" t="n">
        <f aca="false">(D11*0.025)</f>
        <v>50939.825</v>
      </c>
      <c r="F11" s="6" t="n">
        <v>100</v>
      </c>
      <c r="G11" s="6" t="n">
        <f aca="false">SUM(D11,E11)</f>
        <v>2088532.825</v>
      </c>
      <c r="H11" s="6" t="n">
        <f aca="false">SUM(G11,F11)</f>
        <v>2088632.825</v>
      </c>
      <c r="I11" s="6" t="n">
        <f aca="false">VLOOKUP(C11,'Qualifying Salary'!$A$2:$B$5,2,1)</f>
        <v>350000</v>
      </c>
      <c r="J11" s="0" t="str">
        <f aca="false">IF(D11&gt;I11,"Qualified","Not Qualified")</f>
        <v>Qualified</v>
      </c>
      <c r="K11" s="6" t="n">
        <v>532000</v>
      </c>
      <c r="L11" s="6" t="n">
        <f aca="false">PMT(0.006,60,-K11,0,0)</f>
        <v>10584.5096439217</v>
      </c>
      <c r="M11" s="6" t="n">
        <v>3567</v>
      </c>
      <c r="N11" s="6" t="n">
        <f aca="false">PMT(0.004,18,-M11,0,0)</f>
        <v>205.782166192643</v>
      </c>
      <c r="O11" s="6" t="n">
        <v>6000</v>
      </c>
      <c r="P11" s="7" t="n">
        <f aca="false">SUM(K11:O11)</f>
        <v>552357.291810114</v>
      </c>
      <c r="Q11" s="0" t="str">
        <f aca="false">IF(P11&gt;(H11*0.5),"Approved", "Not Approved")</f>
        <v>Not Approved</v>
      </c>
    </row>
    <row r="12" customFormat="false" ht="13.8" hidden="false" customHeight="false" outlineLevel="0" collapsed="false">
      <c r="A12" s="0" t="s">
        <v>41</v>
      </c>
      <c r="B12" s="0" t="s">
        <v>42</v>
      </c>
      <c r="C12" s="0" t="s">
        <v>4</v>
      </c>
      <c r="D12" s="6" t="n">
        <v>9090000</v>
      </c>
      <c r="E12" s="6" t="n">
        <f aca="false">(D12*0.025)</f>
        <v>227250</v>
      </c>
      <c r="F12" s="6" t="n">
        <v>100</v>
      </c>
      <c r="G12" s="6" t="n">
        <f aca="false">SUM(D12,E12)</f>
        <v>9317250</v>
      </c>
      <c r="H12" s="6" t="n">
        <f aca="false">SUM(G12,F12)</f>
        <v>9317350</v>
      </c>
      <c r="I12" s="6" t="n">
        <f aca="false">VLOOKUP(C12,'Qualifying Salary'!$A$2:$B$5,2,1)</f>
        <v>300000</v>
      </c>
      <c r="J12" s="0" t="str">
        <f aca="false">IF(D12&gt;I12,"Qualified","Not Qualified")</f>
        <v>Qualified</v>
      </c>
      <c r="K12" s="6" t="n">
        <v>34564</v>
      </c>
      <c r="L12" s="6" t="n">
        <f aca="false">PMT(0.006,60,-K12,0,0)</f>
        <v>687.674795737801</v>
      </c>
      <c r="M12" s="6" t="n">
        <v>5467</v>
      </c>
      <c r="N12" s="6" t="n">
        <f aca="false">PMT(0.004,18,-M12,0,0)</f>
        <v>315.394197525983</v>
      </c>
      <c r="O12" s="6" t="n">
        <v>6000</v>
      </c>
      <c r="P12" s="7" t="n">
        <f aca="false">SUM(K12:O12)</f>
        <v>47034.0689932638</v>
      </c>
      <c r="Q12" s="0" t="str">
        <f aca="false">IF(P12&gt;(H12*0.5),"Approved", "Not Approved")</f>
        <v>Not Approved</v>
      </c>
    </row>
    <row r="13" customFormat="false" ht="13.8" hidden="false" customHeight="false" outlineLevel="0" collapsed="false">
      <c r="A13" s="0" t="s">
        <v>43</v>
      </c>
      <c r="B13" s="0" t="s">
        <v>44</v>
      </c>
      <c r="C13" s="0" t="s">
        <v>4</v>
      </c>
      <c r="D13" s="6" t="n">
        <v>29352935</v>
      </c>
      <c r="E13" s="6" t="n">
        <f aca="false">(D13*0.025)</f>
        <v>733823.375</v>
      </c>
      <c r="F13" s="6" t="n">
        <v>100</v>
      </c>
      <c r="G13" s="6" t="n">
        <f aca="false">SUM(D13,E13)</f>
        <v>30086758.375</v>
      </c>
      <c r="H13" s="6" t="n">
        <f aca="false">SUM(G13,F13)</f>
        <v>30086858.375</v>
      </c>
      <c r="I13" s="6" t="n">
        <f aca="false">VLOOKUP(C13,'Qualifying Salary'!$A$2:$B$5,2,1)</f>
        <v>300000</v>
      </c>
      <c r="J13" s="0" t="str">
        <f aca="false">IF(D13&gt;I13,"Qualified","Not Qualified")</f>
        <v>Qualified</v>
      </c>
      <c r="K13" s="6" t="n">
        <v>345634</v>
      </c>
      <c r="L13" s="6" t="n">
        <f aca="false">PMT(0.006,60,-K13,0,0)</f>
        <v>6876.62858320909</v>
      </c>
      <c r="M13" s="6" t="n">
        <v>5673</v>
      </c>
      <c r="N13" s="6" t="n">
        <f aca="false">PMT(0.004,18,-M13,0,0)</f>
        <v>327.278449344229</v>
      </c>
      <c r="O13" s="6" t="n">
        <v>6000</v>
      </c>
      <c r="P13" s="7" t="n">
        <f aca="false">SUM(K13:O13)</f>
        <v>364510.907032553</v>
      </c>
      <c r="Q13" s="0" t="str">
        <f aca="false">IF(P13&gt;(H13*0.5),"Approved", "Not Approved")</f>
        <v>Not Approved</v>
      </c>
    </row>
    <row r="14" customFormat="false" ht="13.8" hidden="false" customHeight="false" outlineLevel="0" collapsed="false">
      <c r="A14" s="0" t="s">
        <v>45</v>
      </c>
      <c r="B14" s="0" t="s">
        <v>46</v>
      </c>
      <c r="C14" s="0" t="s">
        <v>4</v>
      </c>
      <c r="D14" s="6" t="n">
        <v>23640770</v>
      </c>
      <c r="E14" s="6" t="n">
        <f aca="false">(D14*0.025)</f>
        <v>591019.25</v>
      </c>
      <c r="F14" s="6" t="n">
        <v>100</v>
      </c>
      <c r="G14" s="6" t="n">
        <f aca="false">SUM(D14,E14)</f>
        <v>24231789.25</v>
      </c>
      <c r="H14" s="6" t="n">
        <f aca="false">SUM(G14,F14)</f>
        <v>24231889.25</v>
      </c>
      <c r="I14" s="6" t="n">
        <f aca="false">VLOOKUP(C14,'Qualifying Salary'!$A$2:$B$5,2,1)</f>
        <v>300000</v>
      </c>
      <c r="J14" s="0" t="str">
        <f aca="false">IF(D14&gt;I14,"Qualified","Not Qualified")</f>
        <v>Qualified</v>
      </c>
      <c r="K14" s="6" t="n">
        <v>374899</v>
      </c>
      <c r="L14" s="6" t="n">
        <f aca="false">PMT(0.006,60,-K14,0,0)</f>
        <v>7458.87609209888</v>
      </c>
      <c r="M14" s="6" t="n">
        <v>358</v>
      </c>
      <c r="N14" s="6" t="n">
        <f aca="false">PMT(0.004,18,-M14,0,0)</f>
        <v>20.6532143249135</v>
      </c>
      <c r="O14" s="6" t="n">
        <v>6002</v>
      </c>
      <c r="P14" s="7" t="n">
        <f aca="false">SUM(K14:O14)</f>
        <v>388738.529306424</v>
      </c>
      <c r="Q14" s="0" t="str">
        <f aca="false">IF(P14&gt;(H14*0.5),"Approved", "Not Approved")</f>
        <v>Not Approved</v>
      </c>
    </row>
    <row r="15" customFormat="false" ht="13.8" hidden="false" customHeight="false" outlineLevel="0" collapsed="false">
      <c r="A15" s="0" t="s">
        <v>47</v>
      </c>
      <c r="B15" s="0" t="s">
        <v>48</v>
      </c>
      <c r="C15" s="0" t="s">
        <v>4</v>
      </c>
      <c r="D15" s="6" t="n">
        <v>30841829</v>
      </c>
      <c r="E15" s="6" t="n">
        <f aca="false">(D15*0.025)</f>
        <v>771045.725</v>
      </c>
      <c r="F15" s="6" t="n">
        <v>100</v>
      </c>
      <c r="G15" s="6" t="n">
        <f aca="false">SUM(D15,E15)</f>
        <v>31612874.725</v>
      </c>
      <c r="H15" s="6" t="n">
        <f aca="false">SUM(G15,F15)</f>
        <v>31612974.725</v>
      </c>
      <c r="I15" s="6" t="n">
        <f aca="false">VLOOKUP(C15,'Qualifying Salary'!$A$2:$B$5,2,1)</f>
        <v>300000</v>
      </c>
      <c r="J15" s="0" t="str">
        <f aca="false">IF(D15&gt;I15,"Qualified","Not Qualified")</f>
        <v>Qualified</v>
      </c>
      <c r="K15" s="6" t="n">
        <v>378000</v>
      </c>
      <c r="L15" s="6" t="n">
        <f aca="false">PMT(0.006,60,-K15,0,0)</f>
        <v>7520.57264173385</v>
      </c>
      <c r="M15" s="6" t="n">
        <v>359</v>
      </c>
      <c r="N15" s="6" t="n">
        <f aca="false">PMT(0.004,18,-M15,0,0)</f>
        <v>20.7109048677205</v>
      </c>
      <c r="O15" s="6" t="n">
        <v>6003</v>
      </c>
      <c r="P15" s="7" t="n">
        <f aca="false">SUM(K15:O15)</f>
        <v>391903.283546602</v>
      </c>
      <c r="Q15" s="0" t="str">
        <f aca="false">IF(P15&gt;(H15*0.5),"Approved", "Not Approved")</f>
        <v>Not Approved</v>
      </c>
    </row>
    <row r="16" customFormat="false" ht="13.8" hidden="false" customHeight="false" outlineLevel="0" collapsed="false">
      <c r="A16" s="0" t="s">
        <v>49</v>
      </c>
      <c r="B16" s="0" t="s">
        <v>50</v>
      </c>
      <c r="C16" s="0" t="s">
        <v>4</v>
      </c>
      <c r="D16" s="6" t="n">
        <v>8335782</v>
      </c>
      <c r="E16" s="6" t="n">
        <f aca="false">(D16*0.025)</f>
        <v>208394.55</v>
      </c>
      <c r="F16" s="6" t="n">
        <v>100</v>
      </c>
      <c r="G16" s="6" t="n">
        <f aca="false">SUM(D16,E16)</f>
        <v>8544176.55</v>
      </c>
      <c r="H16" s="6" t="n">
        <f aca="false">SUM(G16,F16)</f>
        <v>8544276.55</v>
      </c>
      <c r="I16" s="6" t="n">
        <f aca="false">VLOOKUP(C16,'Qualifying Salary'!$A$2:$B$5,2,1)</f>
        <v>300000</v>
      </c>
      <c r="J16" s="0" t="str">
        <f aca="false">IF(D16&gt;I16,"Qualified","Not Qualified")</f>
        <v>Qualified</v>
      </c>
      <c r="K16" s="6" t="n">
        <v>393505</v>
      </c>
      <c r="L16" s="6" t="n">
        <f aca="false">PMT(0.006,60,-K16,0,0)</f>
        <v>7829.05538990867</v>
      </c>
      <c r="M16" s="6" t="n">
        <v>364</v>
      </c>
      <c r="N16" s="6" t="n">
        <f aca="false">PMT(0.004,18,-M16,0,0)</f>
        <v>20.9993575817556</v>
      </c>
      <c r="O16" s="6" t="n">
        <v>6008</v>
      </c>
      <c r="P16" s="7" t="n">
        <f aca="false">SUM(K16:O16)</f>
        <v>407727.05474749</v>
      </c>
      <c r="Q16" s="0" t="str">
        <f aca="false">IF(P16&gt;(H16*0.5),"Approved", "Not Approved")</f>
        <v>Not Approved</v>
      </c>
    </row>
    <row r="17" customFormat="false" ht="13.8" hidden="false" customHeight="false" outlineLevel="0" collapsed="false">
      <c r="A17" s="0" t="s">
        <v>51</v>
      </c>
      <c r="B17" s="0" t="s">
        <v>52</v>
      </c>
      <c r="C17" s="0" t="s">
        <v>4</v>
      </c>
      <c r="D17" s="6" t="n">
        <v>9183866</v>
      </c>
      <c r="E17" s="6" t="n">
        <f aca="false">(D17*0.025)</f>
        <v>229596.65</v>
      </c>
      <c r="F17" s="6" t="n">
        <v>100</v>
      </c>
      <c r="G17" s="6" t="n">
        <f aca="false">SUM(D17,E17)</f>
        <v>9413462.65</v>
      </c>
      <c r="H17" s="6" t="n">
        <f aca="false">SUM(G17,F17)</f>
        <v>9413562.65</v>
      </c>
      <c r="I17" s="6" t="n">
        <f aca="false">VLOOKUP(C17,'Qualifying Salary'!$A$2:$B$5,2,1)</f>
        <v>300000</v>
      </c>
      <c r="J17" s="0" t="str">
        <f aca="false">IF(D17&gt;I17,"Qualified","Not Qualified")</f>
        <v>Qualified</v>
      </c>
      <c r="K17" s="6" t="n">
        <v>399707</v>
      </c>
      <c r="L17" s="6" t="n">
        <f aca="false">PMT(0.006,60,-K17,0,0)</f>
        <v>7952.4484891786</v>
      </c>
      <c r="M17" s="6" t="n">
        <v>366</v>
      </c>
      <c r="N17" s="6" t="n">
        <f aca="false">PMT(0.004,18,-M17,0,0)</f>
        <v>21.1147386673696</v>
      </c>
      <c r="O17" s="6" t="n">
        <v>6010</v>
      </c>
      <c r="P17" s="7" t="n">
        <f aca="false">SUM(K17:O17)</f>
        <v>414056.563227846</v>
      </c>
      <c r="Q17" s="0" t="str">
        <f aca="false">IF(P17&gt;(H17*0.5),"Approved", "Not Approved")</f>
        <v>Not Approved</v>
      </c>
    </row>
    <row r="18" customFormat="false" ht="13.8" hidden="false" customHeight="false" outlineLevel="0" collapsed="false">
      <c r="A18" s="0" t="s">
        <v>53</v>
      </c>
      <c r="B18" s="0" t="s">
        <v>54</v>
      </c>
      <c r="C18" s="0" t="s">
        <v>4</v>
      </c>
      <c r="D18" s="6" t="n">
        <v>9607908</v>
      </c>
      <c r="E18" s="6" t="n">
        <f aca="false">(D18*0.025)</f>
        <v>240197.7</v>
      </c>
      <c r="F18" s="6" t="n">
        <v>100</v>
      </c>
      <c r="G18" s="6" t="n">
        <f aca="false">SUM(D18,E18)</f>
        <v>9848105.7</v>
      </c>
      <c r="H18" s="6" t="n">
        <f aca="false">SUM(G18,F18)</f>
        <v>9848205.7</v>
      </c>
      <c r="I18" s="6" t="n">
        <f aca="false">VLOOKUP(C18,'Qualifying Salary'!$A$2:$B$5,2,1)</f>
        <v>300000</v>
      </c>
      <c r="J18" s="0" t="str">
        <f aca="false">IF(D18&gt;I18,"Qualified","Not Qualified")</f>
        <v>Qualified</v>
      </c>
      <c r="K18" s="6" t="n">
        <v>402808</v>
      </c>
      <c r="L18" s="6" t="n">
        <f aca="false">PMT(0.006,60,-K18,0,0)</f>
        <v>8014.14503881356</v>
      </c>
      <c r="M18" s="6" t="n">
        <v>367</v>
      </c>
      <c r="N18" s="6" t="n">
        <f aca="false">PMT(0.004,18,-M18,0,0)</f>
        <v>21.1724292101767</v>
      </c>
      <c r="O18" s="6" t="n">
        <v>6011</v>
      </c>
      <c r="P18" s="7" t="n">
        <f aca="false">SUM(K18:O18)</f>
        <v>417221.317468024</v>
      </c>
      <c r="Q18" s="0" t="str">
        <f aca="false">IF(P18&gt;(H18*0.5),"Approved", "Not Approved")</f>
        <v>Not Approved</v>
      </c>
    </row>
    <row r="19" customFormat="false" ht="13.8" hidden="false" customHeight="false" outlineLevel="0" collapsed="false">
      <c r="A19" s="0" t="s">
        <v>55</v>
      </c>
      <c r="B19" s="0" t="s">
        <v>56</v>
      </c>
      <c r="C19" s="0" t="s">
        <v>4</v>
      </c>
      <c r="D19" s="6" t="n">
        <v>100000</v>
      </c>
      <c r="E19" s="6" t="n">
        <f aca="false">(D19*0.025)</f>
        <v>2500</v>
      </c>
      <c r="F19" s="6" t="n">
        <v>100</v>
      </c>
      <c r="G19" s="6" t="n">
        <f aca="false">SUM(D19,E19)</f>
        <v>102500</v>
      </c>
      <c r="H19" s="6" t="n">
        <f aca="false">SUM(G19,F19)</f>
        <v>102600</v>
      </c>
      <c r="I19" s="6" t="n">
        <f aca="false">VLOOKUP(C19,'Qualifying Salary'!$A$2:$B$5,2,1)</f>
        <v>300000</v>
      </c>
      <c r="J19" s="0" t="str">
        <f aca="false">IF(D19&gt;I19,"Qualified","Not Qualified")</f>
        <v>Not Qualified</v>
      </c>
      <c r="K19" s="6" t="n">
        <v>522000</v>
      </c>
      <c r="L19" s="6" t="n">
        <f aca="false">PMT(0.006,60,-K19,0,0)</f>
        <v>10385.5526957277</v>
      </c>
      <c r="M19" s="6" t="n">
        <v>567</v>
      </c>
      <c r="N19" s="6" t="n">
        <f aca="false">PMT(0.004,18,-M19,0,0)</f>
        <v>32.7105377715808</v>
      </c>
      <c r="O19" s="6" t="n">
        <v>6000</v>
      </c>
      <c r="P19" s="7" t="n">
        <f aca="false">SUM(K19:O19)</f>
        <v>538985.263233499</v>
      </c>
      <c r="Q19" s="0" t="str">
        <f aca="false">IF(P19&gt;(H19*0.5),"Approved", "Not Approved")</f>
        <v>Approved</v>
      </c>
    </row>
    <row r="20" customFormat="false" ht="13.8" hidden="false" customHeight="false" outlineLevel="0" collapsed="false">
      <c r="A20" s="0" t="s">
        <v>57</v>
      </c>
      <c r="B20" s="0" t="s">
        <v>58</v>
      </c>
      <c r="C20" s="0" t="s">
        <v>4</v>
      </c>
      <c r="D20" s="6" t="n">
        <v>9238652</v>
      </c>
      <c r="E20" s="6" t="n">
        <f aca="false">(D20*0.025)</f>
        <v>230966.3</v>
      </c>
      <c r="F20" s="6" t="n">
        <v>100</v>
      </c>
      <c r="G20" s="6" t="n">
        <f aca="false">SUM(D20,E20)</f>
        <v>9469618.3</v>
      </c>
      <c r="H20" s="6" t="n">
        <f aca="false">SUM(G20,F20)</f>
        <v>9469718.3</v>
      </c>
      <c r="I20" s="6" t="n">
        <f aca="false">VLOOKUP(C20,'Qualifying Salary'!$A$2:$B$5,2,1)</f>
        <v>300000</v>
      </c>
      <c r="J20" s="0" t="str">
        <f aca="false">IF(D20&gt;I20,"Qualified","Not Qualified")</f>
        <v>Qualified</v>
      </c>
      <c r="K20" s="6" t="n">
        <v>534000</v>
      </c>
      <c r="L20" s="6" t="n">
        <f aca="false">PMT(0.006,60,-K20,0,0)</f>
        <v>10624.3010335605</v>
      </c>
      <c r="M20" s="6" t="n">
        <v>356</v>
      </c>
      <c r="N20" s="6" t="n">
        <f aca="false">PMT(0.004,18,-M20,0,0)</f>
        <v>20.5378332392994</v>
      </c>
      <c r="O20" s="6" t="n">
        <v>6000</v>
      </c>
      <c r="P20" s="7" t="n">
        <f aca="false">SUM(K20:O20)</f>
        <v>551000.8388668</v>
      </c>
      <c r="Q20" s="0" t="str">
        <f aca="false">IF(P20&gt;(H20*0.5),"Approved", "Not Approved")</f>
        <v>Not Approved</v>
      </c>
    </row>
    <row r="21" customFormat="false" ht="13.8" hidden="false" customHeight="false" outlineLevel="0" collapsed="false">
      <c r="A21" s="0" t="s">
        <v>59</v>
      </c>
      <c r="B21" s="0" t="s">
        <v>60</v>
      </c>
      <c r="C21" s="0" t="s">
        <v>5</v>
      </c>
      <c r="D21" s="6" t="n">
        <v>22000000</v>
      </c>
      <c r="E21" s="6" t="n">
        <f aca="false">(D21*0.025)</f>
        <v>550000</v>
      </c>
      <c r="F21" s="6" t="n">
        <v>100</v>
      </c>
      <c r="G21" s="6" t="n">
        <f aca="false">SUM(D21,E21)</f>
        <v>22550000</v>
      </c>
      <c r="H21" s="6" t="n">
        <f aca="false">SUM(G21,F21)</f>
        <v>22550100</v>
      </c>
      <c r="I21" s="6" t="n">
        <f aca="false">VLOOKUP(C21,'Qualifying Salary'!$A$2:$B$5,2,1)</f>
        <v>250000</v>
      </c>
      <c r="J21" s="0" t="str">
        <f aca="false">IF(D21&gt;I21,"Qualified","Not Qualified")</f>
        <v>Qualified</v>
      </c>
      <c r="K21" s="6" t="n">
        <v>34674</v>
      </c>
      <c r="L21" s="6" t="n">
        <f aca="false">PMT(0.006,60,-K21,0,0)</f>
        <v>689.863322167935</v>
      </c>
      <c r="M21" s="6" t="n">
        <v>45745</v>
      </c>
      <c r="N21" s="6" t="n">
        <f aca="false">PMT(0.004,18,-M21,0,0)</f>
        <v>2639.05388070717</v>
      </c>
      <c r="O21" s="6" t="n">
        <v>6000</v>
      </c>
      <c r="P21" s="7" t="n">
        <f aca="false">SUM(K21:O21)</f>
        <v>89747.9172028751</v>
      </c>
      <c r="Q21" s="0" t="str">
        <f aca="false">IF(P21&gt;(H21*0.5),"Approved", "Not Approved")</f>
        <v>Not Approved</v>
      </c>
    </row>
    <row r="22" customFormat="false" ht="13.8" hidden="false" customHeight="false" outlineLevel="0" collapsed="false">
      <c r="A22" s="0" t="s">
        <v>61</v>
      </c>
      <c r="B22" s="0" t="s">
        <v>62</v>
      </c>
      <c r="C22" s="0" t="s">
        <v>5</v>
      </c>
      <c r="D22" s="6" t="n">
        <v>100000</v>
      </c>
      <c r="E22" s="6" t="n">
        <f aca="false">(D22*0.025)</f>
        <v>2500</v>
      </c>
      <c r="F22" s="6" t="n">
        <v>100</v>
      </c>
      <c r="G22" s="6" t="n">
        <f aca="false">SUM(D22,E22)</f>
        <v>102500</v>
      </c>
      <c r="H22" s="6" t="n">
        <f aca="false">SUM(G22,F22)</f>
        <v>102600</v>
      </c>
      <c r="I22" s="6" t="n">
        <f aca="false">VLOOKUP(C22,'Qualifying Salary'!$A$2:$B$5,2,1)</f>
        <v>250000</v>
      </c>
      <c r="J22" s="0" t="str">
        <f aca="false">IF(D22&gt;I22,"Qualified","Not Qualified")</f>
        <v>Not Qualified</v>
      </c>
      <c r="K22" s="6" t="n">
        <v>345645</v>
      </c>
      <c r="L22" s="6" t="n">
        <f aca="false">PMT(0.006,60,-K22,0,0)</f>
        <v>6876.8474358521</v>
      </c>
      <c r="M22" s="6" t="n">
        <v>567</v>
      </c>
      <c r="N22" s="6" t="n">
        <f aca="false">PMT(0.004,18,-M22,0,0)</f>
        <v>32.7105377715808</v>
      </c>
      <c r="O22" s="6" t="n">
        <v>6000</v>
      </c>
      <c r="P22" s="7" t="n">
        <f aca="false">SUM(K22:O22)</f>
        <v>359121.557973624</v>
      </c>
      <c r="Q22" s="0" t="str">
        <f aca="false">IF(P22&gt;(H22*0.5),"Approved", "Not Approved")</f>
        <v>Approved</v>
      </c>
    </row>
    <row r="23" customFormat="false" ht="13.8" hidden="false" customHeight="false" outlineLevel="0" collapsed="false">
      <c r="A23" s="0" t="s">
        <v>63</v>
      </c>
      <c r="B23" s="0" t="s">
        <v>64</v>
      </c>
      <c r="C23" s="0" t="s">
        <v>5</v>
      </c>
      <c r="D23" s="6" t="n">
        <v>100000</v>
      </c>
      <c r="E23" s="6" t="n">
        <f aca="false">(D23*0.025)</f>
        <v>2500</v>
      </c>
      <c r="F23" s="6" t="n">
        <v>100</v>
      </c>
      <c r="G23" s="6" t="n">
        <f aca="false">SUM(D23,E23)</f>
        <v>102500</v>
      </c>
      <c r="H23" s="6" t="n">
        <f aca="false">SUM(G23,F23)</f>
        <v>102600</v>
      </c>
      <c r="I23" s="6" t="n">
        <f aca="false">VLOOKUP(C23,'Qualifying Salary'!$A$2:$B$5,2,1)</f>
        <v>250000</v>
      </c>
      <c r="J23" s="0" t="str">
        <f aca="false">IF(D23&gt;I23,"Qualified","Not Qualified")</f>
        <v>Not Qualified</v>
      </c>
      <c r="K23" s="6" t="n">
        <v>345646</v>
      </c>
      <c r="L23" s="6" t="n">
        <f aca="false">PMT(0.006,60,-K23,0,0)</f>
        <v>6876.86733154692</v>
      </c>
      <c r="M23" s="6" t="n">
        <v>3567</v>
      </c>
      <c r="N23" s="6" t="n">
        <f aca="false">PMT(0.004,18,-M23,0,0)</f>
        <v>205.782166192643</v>
      </c>
      <c r="O23" s="6" t="n">
        <v>6000</v>
      </c>
      <c r="P23" s="7" t="n">
        <f aca="false">SUM(K23:O23)</f>
        <v>362295.64949774</v>
      </c>
      <c r="Q23" s="0" t="str">
        <f aca="false">IF(P23&gt;(H23*0.5),"Approved", "Not Approved")</f>
        <v>Approved</v>
      </c>
    </row>
    <row r="24" customFormat="false" ht="13.8" hidden="false" customHeight="false" outlineLevel="0" collapsed="false">
      <c r="A24" s="0" t="s">
        <v>65</v>
      </c>
      <c r="B24" s="0" t="s">
        <v>66</v>
      </c>
      <c r="C24" s="0" t="s">
        <v>5</v>
      </c>
      <c r="D24" s="6" t="n">
        <v>7063656</v>
      </c>
      <c r="E24" s="6" t="n">
        <f aca="false">(D24*0.025)</f>
        <v>176591.4</v>
      </c>
      <c r="F24" s="6" t="n">
        <v>100</v>
      </c>
      <c r="G24" s="6" t="n">
        <f aca="false">SUM(D24,E24)</f>
        <v>7240247.4</v>
      </c>
      <c r="H24" s="6" t="n">
        <f aca="false">SUM(G24,F24)</f>
        <v>7240347.4</v>
      </c>
      <c r="I24" s="6" t="n">
        <f aca="false">VLOOKUP(C24,'Qualifying Salary'!$A$2:$B$5,2,1)</f>
        <v>250000</v>
      </c>
      <c r="J24" s="0" t="str">
        <f aca="false">IF(D24&gt;I24,"Qualified","Not Qualified")</f>
        <v>Qualified</v>
      </c>
      <c r="K24" s="6" t="n">
        <v>384202</v>
      </c>
      <c r="L24" s="6" t="n">
        <f aca="false">PMT(0.006,60,-K24,0,0)</f>
        <v>7643.96574100377</v>
      </c>
      <c r="M24" s="6" t="n">
        <v>361</v>
      </c>
      <c r="N24" s="6" t="n">
        <f aca="false">PMT(0.004,18,-M24,0,0)</f>
        <v>20.8262859533345</v>
      </c>
      <c r="O24" s="6" t="n">
        <v>6005</v>
      </c>
      <c r="P24" s="7" t="n">
        <f aca="false">SUM(K24:O24)</f>
        <v>398232.792026957</v>
      </c>
      <c r="Q24" s="0" t="str">
        <f aca="false">IF(P24&gt;(H24*0.5),"Approved", "Not Approved")</f>
        <v>Not Approved</v>
      </c>
    </row>
    <row r="25" customFormat="false" ht="13.8" hidden="false" customHeight="false" outlineLevel="0" collapsed="false">
      <c r="A25" s="0" t="s">
        <v>67</v>
      </c>
      <c r="B25" s="0" t="s">
        <v>68</v>
      </c>
      <c r="C25" s="0" t="s">
        <v>5</v>
      </c>
      <c r="D25" s="6" t="n">
        <v>7487698</v>
      </c>
      <c r="E25" s="6" t="n">
        <f aca="false">(D25*0.025)</f>
        <v>187192.45</v>
      </c>
      <c r="F25" s="6" t="n">
        <v>100</v>
      </c>
      <c r="G25" s="6" t="n">
        <f aca="false">SUM(D25,E25)</f>
        <v>7674890.45</v>
      </c>
      <c r="H25" s="6" t="n">
        <f aca="false">SUM(G25,F25)</f>
        <v>7674990.45</v>
      </c>
      <c r="I25" s="6" t="n">
        <f aca="false">VLOOKUP(C25,'Qualifying Salary'!$A$2:$B$5,2,1)</f>
        <v>250000</v>
      </c>
      <c r="J25" s="0" t="str">
        <f aca="false">IF(D25&gt;I25,"Qualified","Not Qualified")</f>
        <v>Qualified</v>
      </c>
      <c r="K25" s="6" t="n">
        <v>387303</v>
      </c>
      <c r="L25" s="6" t="n">
        <f aca="false">PMT(0.006,60,-K25,0,0)</f>
        <v>7705.66229063874</v>
      </c>
      <c r="M25" s="6" t="n">
        <v>362</v>
      </c>
      <c r="N25" s="6" t="n">
        <f aca="false">PMT(0.004,18,-M25,0,0)</f>
        <v>20.8839764961416</v>
      </c>
      <c r="O25" s="6" t="n">
        <v>6006</v>
      </c>
      <c r="P25" s="7" t="n">
        <f aca="false">SUM(K25:O25)</f>
        <v>401397.546267135</v>
      </c>
      <c r="Q25" s="0" t="str">
        <f aca="false">IF(P25&gt;(H25*0.5),"Approved", "Not Approved")</f>
        <v>Not Approved</v>
      </c>
    </row>
    <row r="26" customFormat="false" ht="13.8" hidden="false" customHeight="false" outlineLevel="0" collapsed="false">
      <c r="A26" s="0" t="s">
        <v>69</v>
      </c>
      <c r="B26" s="0" t="s">
        <v>70</v>
      </c>
      <c r="C26" s="0" t="s">
        <v>5</v>
      </c>
      <c r="D26" s="6" t="n">
        <v>8759824</v>
      </c>
      <c r="E26" s="6" t="n">
        <f aca="false">(D26*0.025)</f>
        <v>218995.6</v>
      </c>
      <c r="F26" s="6" t="n">
        <v>100</v>
      </c>
      <c r="G26" s="6" t="n">
        <f aca="false">SUM(D26,E26)</f>
        <v>8978819.6</v>
      </c>
      <c r="H26" s="6" t="n">
        <f aca="false">SUM(G26,F26)</f>
        <v>8978919.6</v>
      </c>
      <c r="I26" s="6" t="n">
        <f aca="false">VLOOKUP(C26,'Qualifying Salary'!$A$2:$B$5,2,1)</f>
        <v>250000</v>
      </c>
      <c r="J26" s="0" t="str">
        <f aca="false">IF(D26&gt;I26,"Qualified","Not Qualified")</f>
        <v>Qualified</v>
      </c>
      <c r="K26" s="6" t="n">
        <v>396606</v>
      </c>
      <c r="L26" s="6" t="n">
        <f aca="false">PMT(0.006,60,-K26,0,0)</f>
        <v>7890.75193954363</v>
      </c>
      <c r="M26" s="6" t="n">
        <v>365</v>
      </c>
      <c r="N26" s="6" t="n">
        <f aca="false">PMT(0.004,18,-M26,0,0)</f>
        <v>21.0570481245626</v>
      </c>
      <c r="O26" s="6" t="n">
        <v>6009</v>
      </c>
      <c r="P26" s="7" t="n">
        <f aca="false">SUM(K26:O26)</f>
        <v>410891.808987668</v>
      </c>
      <c r="Q26" s="0" t="str">
        <f aca="false">IF(P26&gt;(H26*0.5),"Approved", "Not Approved")</f>
        <v>Not Approved</v>
      </c>
    </row>
    <row r="27" customFormat="false" ht="13.8" hidden="false" customHeight="false" outlineLevel="0" collapsed="false">
      <c r="A27" s="0" t="s">
        <v>71</v>
      </c>
      <c r="B27" s="0" t="s">
        <v>72</v>
      </c>
      <c r="C27" s="0" t="s">
        <v>5</v>
      </c>
      <c r="D27" s="6" t="n">
        <v>24624363</v>
      </c>
      <c r="E27" s="6" t="n">
        <f aca="false">(D27*0.025)</f>
        <v>615609.075</v>
      </c>
      <c r="F27" s="6" t="n">
        <v>100</v>
      </c>
      <c r="G27" s="6" t="n">
        <f aca="false">SUM(D27,E27)</f>
        <v>25239972.075</v>
      </c>
      <c r="H27" s="6" t="n">
        <f aca="false">SUM(G27,F27)</f>
        <v>25240072.075</v>
      </c>
      <c r="I27" s="6" t="n">
        <f aca="false">VLOOKUP(C27,'Qualifying Salary'!$A$2:$B$5,2,1)</f>
        <v>250000</v>
      </c>
      <c r="J27" s="0" t="str">
        <f aca="false">IF(D27&gt;I27,"Qualified","Not Qualified")</f>
        <v>Qualified</v>
      </c>
      <c r="K27" s="6" t="n">
        <v>435734</v>
      </c>
      <c r="L27" s="6" t="n">
        <f aca="false">PMT(0.006,60,-K27,0,0)</f>
        <v>8669.23068643718</v>
      </c>
      <c r="M27" s="6" t="n">
        <v>34534</v>
      </c>
      <c r="N27" s="6" t="n">
        <f aca="false">PMT(0.004,18,-M27,0,0)</f>
        <v>1992.28520529766</v>
      </c>
      <c r="O27" s="6" t="n">
        <v>6000</v>
      </c>
      <c r="P27" s="7" t="n">
        <f aca="false">SUM(K27:O27)</f>
        <v>486929.515891735</v>
      </c>
      <c r="Q27" s="0" t="str">
        <f aca="false">IF(P27&gt;(H27*0.5),"Approved", "Not Approved")</f>
        <v>Not Approved</v>
      </c>
    </row>
    <row r="28" customFormat="false" ht="13.8" hidden="false" customHeight="false" outlineLevel="0" collapsed="false">
      <c r="A28" s="0" t="s">
        <v>73</v>
      </c>
      <c r="B28" s="0" t="s">
        <v>74</v>
      </c>
      <c r="C28" s="0" t="s">
        <v>5</v>
      </c>
      <c r="D28" s="6" t="n">
        <v>23523624</v>
      </c>
      <c r="E28" s="6" t="n">
        <f aca="false">(D28*0.025)</f>
        <v>588090.6</v>
      </c>
      <c r="F28" s="6" t="n">
        <v>100</v>
      </c>
      <c r="G28" s="6" t="n">
        <f aca="false">SUM(D28,E28)</f>
        <v>24111714.6</v>
      </c>
      <c r="H28" s="6" t="n">
        <f aca="false">SUM(G28,F28)</f>
        <v>24111814.6</v>
      </c>
      <c r="I28" s="6" t="n">
        <f aca="false">VLOOKUP(C28,'Qualifying Salary'!$A$2:$B$5,2,1)</f>
        <v>250000</v>
      </c>
      <c r="J28" s="0" t="str">
        <f aca="false">IF(D28&gt;I28,"Qualified","Not Qualified")</f>
        <v>Qualified</v>
      </c>
      <c r="K28" s="6" t="n">
        <v>504000</v>
      </c>
      <c r="L28" s="6" t="n">
        <f aca="false">PMT(0.006,60,-K28,0,0)</f>
        <v>10027.4301889785</v>
      </c>
      <c r="M28" s="6" t="n">
        <v>657</v>
      </c>
      <c r="N28" s="6" t="n">
        <f aca="false">PMT(0.004,18,-M28,0,0)</f>
        <v>37.9026866242127</v>
      </c>
      <c r="O28" s="6" t="n">
        <v>6000</v>
      </c>
      <c r="P28" s="7" t="n">
        <f aca="false">SUM(K28:O28)</f>
        <v>520722.332875603</v>
      </c>
      <c r="Q28" s="0" t="str">
        <f aca="false">IF(P28&gt;(H28*0.5),"Approved", "Not Approved")</f>
        <v>Not Approved</v>
      </c>
    </row>
    <row r="29" customFormat="false" ht="13.8" hidden="false" customHeight="false" outlineLevel="0" collapsed="false">
      <c r="A29" s="0" t="s">
        <v>75</v>
      </c>
      <c r="B29" s="0" t="s">
        <v>76</v>
      </c>
      <c r="C29" s="0" t="s">
        <v>5</v>
      </c>
      <c r="D29" s="6" t="n">
        <v>100000</v>
      </c>
      <c r="E29" s="6" t="n">
        <f aca="false">(D29*0.025)</f>
        <v>2500</v>
      </c>
      <c r="F29" s="6" t="n">
        <v>100</v>
      </c>
      <c r="G29" s="6" t="n">
        <f aca="false">SUM(D29,E29)</f>
        <v>102500</v>
      </c>
      <c r="H29" s="6" t="n">
        <f aca="false">SUM(G29,F29)</f>
        <v>102600</v>
      </c>
      <c r="I29" s="6" t="n">
        <f aca="false">VLOOKUP(C29,'Qualifying Salary'!$A$2:$B$5,2,1)</f>
        <v>250000</v>
      </c>
      <c r="J29" s="0" t="str">
        <f aca="false">IF(D29&gt;I29,"Qualified","Not Qualified")</f>
        <v>Not Qualified</v>
      </c>
      <c r="K29" s="6" t="n">
        <v>512000</v>
      </c>
      <c r="L29" s="6" t="n">
        <f aca="false">PMT(0.006,60,-K29,0,0)</f>
        <v>10186.5957475337</v>
      </c>
      <c r="M29" s="6" t="n">
        <v>45645</v>
      </c>
      <c r="N29" s="6" t="n">
        <f aca="false">PMT(0.004,18,-M29,0,0)</f>
        <v>2633.28482642647</v>
      </c>
      <c r="O29" s="6" t="n">
        <v>6000</v>
      </c>
      <c r="P29" s="7" t="n">
        <f aca="false">SUM(K29:O29)</f>
        <v>576464.88057396</v>
      </c>
      <c r="Q29" s="0" t="str">
        <f aca="false">IF(P29&gt;(H29*0.5),"Approved", "Not Approved")</f>
        <v>Approved</v>
      </c>
    </row>
    <row r="30" customFormat="false" ht="13.8" hidden="false" customHeight="false" outlineLevel="0" collapsed="false">
      <c r="A30" s="0" t="s">
        <v>77</v>
      </c>
      <c r="B30" s="0" t="s">
        <v>40</v>
      </c>
      <c r="C30" s="0" t="s">
        <v>5</v>
      </c>
      <c r="D30" s="6" t="n">
        <v>4239846</v>
      </c>
      <c r="E30" s="6" t="n">
        <f aca="false">(D30*0.025)</f>
        <v>105996.15</v>
      </c>
      <c r="F30" s="6" t="n">
        <v>100</v>
      </c>
      <c r="G30" s="6" t="n">
        <f aca="false">SUM(D30,E30)</f>
        <v>4345842.15</v>
      </c>
      <c r="H30" s="6" t="n">
        <f aca="false">SUM(G30,F30)</f>
        <v>4345942.15</v>
      </c>
      <c r="I30" s="6" t="n">
        <f aca="false">VLOOKUP(C30,'Qualifying Salary'!$A$2:$B$5,2,1)</f>
        <v>250000</v>
      </c>
      <c r="J30" s="0" t="str">
        <f aca="false">IF(D30&gt;I30,"Qualified","Not Qualified")</f>
        <v>Qualified</v>
      </c>
      <c r="K30" s="6" t="n">
        <v>530000</v>
      </c>
      <c r="L30" s="6" t="n">
        <f aca="false">PMT(0.006,60,-K30,0,0)</f>
        <v>10544.7182542829</v>
      </c>
      <c r="M30" s="6" t="n">
        <v>3567</v>
      </c>
      <c r="N30" s="6" t="n">
        <f aca="false">PMT(0.004,18,-M30,0,0)</f>
        <v>205.782166192643</v>
      </c>
      <c r="O30" s="6" t="n">
        <v>6000</v>
      </c>
      <c r="P30" s="7" t="n">
        <f aca="false">SUM(K30:O30)</f>
        <v>550317.500420476</v>
      </c>
      <c r="Q30" s="0" t="str">
        <f aca="false">IF(P30&gt;(H30*0.5),"Approved", "Not Approved")</f>
        <v>Not Approved</v>
      </c>
    </row>
    <row r="31" customFormat="false" ht="13.8" hidden="false" customHeight="false" outlineLevel="0" collapsed="false">
      <c r="A31" s="0" t="s">
        <v>27</v>
      </c>
      <c r="B31" s="0" t="s">
        <v>78</v>
      </c>
      <c r="C31" s="0" t="s">
        <v>5</v>
      </c>
      <c r="D31" s="6" t="n">
        <v>16439711</v>
      </c>
      <c r="E31" s="6" t="n">
        <f aca="false">(D31*0.025)</f>
        <v>410992.775</v>
      </c>
      <c r="F31" s="6" t="n">
        <v>100</v>
      </c>
      <c r="G31" s="6" t="n">
        <f aca="false">SUM(D31,E31)</f>
        <v>16850703.775</v>
      </c>
      <c r="H31" s="6" t="n">
        <f aca="false">SUM(G31,F31)</f>
        <v>16850803.775</v>
      </c>
      <c r="I31" s="6" t="n">
        <f aca="false">VLOOKUP(C31,'Qualifying Salary'!$A$2:$B$5,2,1)</f>
        <v>250000</v>
      </c>
      <c r="J31" s="0" t="str">
        <f aca="false">IF(D31&gt;I31,"Qualified","Not Qualified")</f>
        <v>Qualified</v>
      </c>
      <c r="K31" s="6" t="n">
        <v>534001</v>
      </c>
      <c r="L31" s="6" t="n">
        <f aca="false">PMT(0.006,60,-K31,0,0)</f>
        <v>10624.3209292553</v>
      </c>
      <c r="M31" s="6" t="n">
        <v>357</v>
      </c>
      <c r="N31" s="6" t="n">
        <f aca="false">PMT(0.004,18,-M31,0,0)</f>
        <v>20.5955237821065</v>
      </c>
      <c r="O31" s="6" t="n">
        <v>6001</v>
      </c>
      <c r="P31" s="7" t="n">
        <f aca="false">SUM(K31:O31)</f>
        <v>551003.916453037</v>
      </c>
      <c r="Q31" s="0" t="str">
        <f aca="false">IF(P31&gt;(H31*0.5),"Approved", "Not Approved")</f>
        <v>Not Approved</v>
      </c>
    </row>
    <row r="32" customFormat="false" ht="13.8" hidden="false" customHeight="false" outlineLevel="0" collapsed="false">
      <c r="A32" s="0" t="s">
        <v>79</v>
      </c>
      <c r="B32" s="0" t="s">
        <v>80</v>
      </c>
      <c r="C32" s="0" t="s">
        <v>5</v>
      </c>
      <c r="D32" s="6" t="n">
        <v>9607909</v>
      </c>
      <c r="E32" s="6" t="n">
        <f aca="false">(D32*0.025)</f>
        <v>240197.725</v>
      </c>
      <c r="F32" s="6" t="n">
        <v>101</v>
      </c>
      <c r="G32" s="6" t="n">
        <f aca="false">SUM(D32,E32)</f>
        <v>9848106.725</v>
      </c>
      <c r="H32" s="6" t="n">
        <f aca="false">SUM(G32,F32)</f>
        <v>9848207.725</v>
      </c>
      <c r="I32" s="6" t="n">
        <f aca="false">VLOOKUP(C32,'Qualifying Salary'!$A$2:$B$5,2,1)</f>
        <v>250000</v>
      </c>
      <c r="J32" s="0" t="str">
        <f aca="false">IF(D32&gt;I32,"Qualified","Not Qualified")</f>
        <v>Qualified</v>
      </c>
      <c r="K32" s="6" t="n">
        <v>402809</v>
      </c>
      <c r="L32" s="6" t="n">
        <f aca="false">PMT(0.006,60,-K32,0,0)</f>
        <v>8014.16493450838</v>
      </c>
      <c r="M32" s="6" t="n">
        <v>368</v>
      </c>
      <c r="N32" s="6" t="n">
        <f aca="false">PMT(0.004,18,-M32,0,0)</f>
        <v>21.2301197529837</v>
      </c>
      <c r="O32" s="6" t="n">
        <v>6012</v>
      </c>
      <c r="P32" s="7" t="n">
        <f aca="false">SUM(K32:O32)</f>
        <v>417224.395054261</v>
      </c>
      <c r="Q32" s="0" t="str">
        <f aca="false">IF(P32&gt;(H32*0.5),"Approved", "Not Approved")</f>
        <v>Not Approved</v>
      </c>
    </row>
    <row r="33" customFormat="false" ht="13.8" hidden="false" customHeight="false" outlineLevel="0" collapsed="false"/>
    <row r="34" customFormat="false" ht="13.8" hidden="false" customHeight="false" outlineLevel="0" collapsed="false"/>
    <row r="35" customFormat="false" ht="13.8" hidden="false" customHeight="false" outlineLevel="0" collapsed="false">
      <c r="D35" s="0" t="s">
        <v>3</v>
      </c>
      <c r="E35" s="7" t="n">
        <f aca="false">SUM(H3:H11)</f>
        <v>80948769.275</v>
      </c>
    </row>
    <row r="36" customFormat="false" ht="13.8" hidden="false" customHeight="false" outlineLevel="0" collapsed="false">
      <c r="C36" s="6"/>
      <c r="D36" s="6" t="s">
        <v>4</v>
      </c>
      <c r="E36" s="7" t="n">
        <f aca="false">SUM(H12:H20)</f>
        <v>132627435.55</v>
      </c>
      <c r="F36" s="6"/>
      <c r="G36" s="6"/>
      <c r="H36" s="6"/>
      <c r="J36" s="6"/>
      <c r="K36" s="6"/>
      <c r="L36" s="6"/>
      <c r="M36" s="8"/>
      <c r="N36" s="6"/>
      <c r="O36" s="7"/>
    </row>
    <row r="37" customFormat="false" ht="13.8" hidden="false" customHeight="false" outlineLevel="0" collapsed="false">
      <c r="D37" s="0" t="s">
        <v>5</v>
      </c>
      <c r="E37" s="7" t="n">
        <f aca="false">SUM(H21:H32)</f>
        <v>127148997.775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23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3" activeCellId="0" sqref="A3"/>
    </sheetView>
  </sheetViews>
  <sheetFormatPr defaultColWidth="8.59765625" defaultRowHeight="12.8" zeroHeight="false" outlineLevelRow="0" outlineLevelCol="0"/>
  <cols>
    <col collapsed="false" customWidth="true" hidden="false" outlineLevel="0" max="1" min="1" style="0" width="10.57"/>
    <col collapsed="false" customWidth="true" hidden="false" outlineLevel="0" max="2" min="2" style="0" width="10.29"/>
    <col collapsed="false" customWidth="true" hidden="false" outlineLevel="0" max="3" min="3" style="0" width="19.15"/>
    <col collapsed="false" customWidth="true" hidden="false" outlineLevel="0" max="4" min="4" style="0" width="14.29"/>
    <col collapsed="false" customWidth="true" hidden="false" outlineLevel="0" max="5" min="5" style="0" width="21"/>
    <col collapsed="false" customWidth="true" hidden="false" outlineLevel="0" max="6" min="6" style="0" width="14.29"/>
    <col collapsed="false" customWidth="true" hidden="false" outlineLevel="0" max="7" min="7" style="0" width="16.14"/>
    <col collapsed="false" customWidth="true" hidden="false" outlineLevel="0" max="8" min="8" style="0" width="14.29"/>
    <col collapsed="false" customWidth="true" hidden="false" outlineLevel="0" max="10" min="9" style="0" width="16.14"/>
    <col collapsed="false" customWidth="true" hidden="false" outlineLevel="0" max="11" min="11" style="0" width="17.71"/>
    <col collapsed="false" customWidth="true" hidden="false" outlineLevel="0" max="12" min="12" style="0" width="23.86"/>
    <col collapsed="false" customWidth="true" hidden="false" outlineLevel="0" max="13" min="13" style="0" width="23.43"/>
    <col collapsed="false" customWidth="true" hidden="false" outlineLevel="0" max="14" min="14" style="0" width="29.71"/>
    <col collapsed="false" customWidth="true" hidden="false" outlineLevel="0" max="15" min="15" style="0" width="17.86"/>
    <col collapsed="false" customWidth="true" hidden="false" outlineLevel="0" max="16" min="16" style="0" width="19.43"/>
    <col collapsed="false" customWidth="true" hidden="false" outlineLevel="0" max="17" min="17" style="0" width="15"/>
  </cols>
  <sheetData>
    <row r="1" customFormat="false" ht="13.8" hidden="false" customHeight="false" outlineLevel="0" collapsed="false">
      <c r="A1" s="0" t="s">
        <v>6</v>
      </c>
      <c r="B1" s="0" t="s">
        <v>7</v>
      </c>
      <c r="C1" s="0" t="s">
        <v>8</v>
      </c>
      <c r="D1" s="0" t="s">
        <v>9</v>
      </c>
      <c r="E1" s="0" t="s">
        <v>10</v>
      </c>
      <c r="F1" s="0" t="s">
        <v>12</v>
      </c>
      <c r="G1" s="0" t="s">
        <v>11</v>
      </c>
      <c r="H1" s="0" t="s">
        <v>13</v>
      </c>
      <c r="I1" s="0" t="s">
        <v>0</v>
      </c>
      <c r="J1" s="0" t="s">
        <v>14</v>
      </c>
      <c r="K1" s="0" t="s">
        <v>15</v>
      </c>
      <c r="L1" s="0" t="s">
        <v>16</v>
      </c>
      <c r="M1" s="0" t="s">
        <v>17</v>
      </c>
      <c r="N1" s="0" t="s">
        <v>18</v>
      </c>
      <c r="O1" s="0" t="s">
        <v>81</v>
      </c>
      <c r="P1" s="0" t="s">
        <v>20</v>
      </c>
      <c r="Q1" s="0" t="s">
        <v>22</v>
      </c>
    </row>
    <row r="2" customFormat="false" ht="13.8" hidden="false" customHeight="false" outlineLevel="0" collapsed="false">
      <c r="A2" s="0" t="e">
        <f aca="false" t="array" ref="A2:P23">_xlfn._xlws.filter('Applicant Details'!A3:P31,'Applicant Details'!H3:H31&gt;700000)</f>
        <v>#NAME?</v>
      </c>
      <c r="B2" s="0" t="e">
        <v>#NAME?</v>
      </c>
      <c r="C2" s="0" t="e">
        <v>#NAME?</v>
      </c>
      <c r="D2" s="9" t="e">
        <v>#NAME?</v>
      </c>
      <c r="E2" s="10" t="e">
        <v>#NAME?</v>
      </c>
      <c r="F2" s="10" t="e">
        <v>#NAME?</v>
      </c>
      <c r="G2" s="10" t="e">
        <v>#NAME?</v>
      </c>
      <c r="H2" s="10" t="e">
        <v>#NAME?</v>
      </c>
      <c r="I2" s="10" t="e">
        <v>#NAME?</v>
      </c>
      <c r="J2" s="0" t="e">
        <v>#NAME?</v>
      </c>
      <c r="K2" s="10" t="e">
        <v>#NAME?</v>
      </c>
      <c r="L2" s="10" t="e">
        <v>#NAME?</v>
      </c>
      <c r="M2" s="10" t="e">
        <v>#NAME?</v>
      </c>
      <c r="N2" s="10" t="e">
        <v>#NAME?</v>
      </c>
      <c r="O2" s="10" t="e">
        <v>#NAME?</v>
      </c>
      <c r="P2" s="10" t="e">
        <v>#NAME?</v>
      </c>
    </row>
    <row r="3" customFormat="false" ht="13.8" hidden="false" customHeight="false" outlineLevel="0" collapsed="false">
      <c r="A3" s="0" t="e">
        <v>#NAME?</v>
      </c>
      <c r="B3" s="0" t="e">
        <v>#NAME?</v>
      </c>
      <c r="C3" s="0" t="e">
        <v>#NAME?</v>
      </c>
      <c r="D3" s="9" t="e">
        <v>#NAME?</v>
      </c>
      <c r="E3" s="10" t="e">
        <v>#NAME?</v>
      </c>
      <c r="F3" s="10" t="e">
        <v>#NAME?</v>
      </c>
      <c r="G3" s="10" t="e">
        <v>#NAME?</v>
      </c>
      <c r="H3" s="10" t="e">
        <v>#NAME?</v>
      </c>
      <c r="I3" s="10" t="e">
        <v>#NAME?</v>
      </c>
      <c r="J3" s="0" t="e">
        <v>#NAME?</v>
      </c>
      <c r="K3" s="10" t="e">
        <v>#NAME?</v>
      </c>
      <c r="L3" s="10" t="e">
        <v>#NAME?</v>
      </c>
      <c r="M3" s="10" t="e">
        <v>#NAME?</v>
      </c>
      <c r="N3" s="10" t="e">
        <v>#NAME?</v>
      </c>
      <c r="O3" s="10" t="e">
        <v>#NAME?</v>
      </c>
      <c r="P3" s="10" t="e">
        <v>#NAME?</v>
      </c>
    </row>
    <row r="4" customFormat="false" ht="13.8" hidden="false" customHeight="false" outlineLevel="0" collapsed="false">
      <c r="A4" s="0" t="e">
        <v>#NAME?</v>
      </c>
      <c r="B4" s="0" t="e">
        <v>#NAME?</v>
      </c>
      <c r="C4" s="0" t="e">
        <v>#NAME?</v>
      </c>
      <c r="D4" s="9" t="e">
        <v>#NAME?</v>
      </c>
      <c r="E4" s="10" t="e">
        <v>#NAME?</v>
      </c>
      <c r="F4" s="10" t="e">
        <v>#NAME?</v>
      </c>
      <c r="G4" s="10" t="e">
        <v>#NAME?</v>
      </c>
      <c r="H4" s="10" t="e">
        <v>#NAME?</v>
      </c>
      <c r="I4" s="10" t="e">
        <v>#NAME?</v>
      </c>
      <c r="J4" s="0" t="e">
        <v>#NAME?</v>
      </c>
      <c r="K4" s="10" t="e">
        <v>#NAME?</v>
      </c>
      <c r="L4" s="10" t="e">
        <v>#NAME?</v>
      </c>
      <c r="M4" s="10" t="e">
        <v>#NAME?</v>
      </c>
      <c r="N4" s="10" t="e">
        <v>#NAME?</v>
      </c>
      <c r="O4" s="10" t="e">
        <v>#NAME?</v>
      </c>
      <c r="P4" s="10" t="e">
        <v>#NAME?</v>
      </c>
    </row>
    <row r="5" customFormat="false" ht="13.8" hidden="false" customHeight="false" outlineLevel="0" collapsed="false">
      <c r="A5" s="0" t="e">
        <v>#NAME?</v>
      </c>
      <c r="B5" s="0" t="e">
        <v>#NAME?</v>
      </c>
      <c r="C5" s="0" t="e">
        <v>#NAME?</v>
      </c>
      <c r="D5" s="9" t="e">
        <v>#NAME?</v>
      </c>
      <c r="E5" s="10" t="e">
        <v>#NAME?</v>
      </c>
      <c r="F5" s="10" t="e">
        <v>#NAME?</v>
      </c>
      <c r="G5" s="10" t="e">
        <v>#NAME?</v>
      </c>
      <c r="H5" s="10" t="e">
        <v>#NAME?</v>
      </c>
      <c r="I5" s="10" t="e">
        <v>#NAME?</v>
      </c>
      <c r="J5" s="0" t="e">
        <v>#NAME?</v>
      </c>
      <c r="K5" s="10" t="e">
        <v>#NAME?</v>
      </c>
      <c r="L5" s="10" t="e">
        <v>#NAME?</v>
      </c>
      <c r="M5" s="10" t="e">
        <v>#NAME?</v>
      </c>
      <c r="N5" s="10" t="e">
        <v>#NAME?</v>
      </c>
      <c r="O5" s="10" t="e">
        <v>#NAME?</v>
      </c>
      <c r="P5" s="10" t="e">
        <v>#NAME?</v>
      </c>
    </row>
    <row r="6" customFormat="false" ht="13.8" hidden="false" customHeight="false" outlineLevel="0" collapsed="false">
      <c r="A6" s="0" t="e">
        <v>#NAME?</v>
      </c>
      <c r="B6" s="0" t="e">
        <v>#NAME?</v>
      </c>
      <c r="C6" s="0" t="e">
        <v>#NAME?</v>
      </c>
      <c r="D6" s="9" t="e">
        <v>#NAME?</v>
      </c>
      <c r="E6" s="10" t="e">
        <v>#NAME?</v>
      </c>
      <c r="F6" s="10" t="e">
        <v>#NAME?</v>
      </c>
      <c r="G6" s="10" t="e">
        <v>#NAME?</v>
      </c>
      <c r="H6" s="10" t="e">
        <v>#NAME?</v>
      </c>
      <c r="I6" s="10" t="e">
        <v>#NAME?</v>
      </c>
      <c r="J6" s="0" t="e">
        <v>#NAME?</v>
      </c>
      <c r="K6" s="10" t="e">
        <v>#NAME?</v>
      </c>
      <c r="L6" s="10" t="e">
        <v>#NAME?</v>
      </c>
      <c r="M6" s="10" t="e">
        <v>#NAME?</v>
      </c>
      <c r="N6" s="10" t="e">
        <v>#NAME?</v>
      </c>
      <c r="O6" s="10" t="e">
        <v>#NAME?</v>
      </c>
      <c r="P6" s="10" t="e">
        <v>#NAME?</v>
      </c>
    </row>
    <row r="7" customFormat="false" ht="13.8" hidden="false" customHeight="false" outlineLevel="0" collapsed="false">
      <c r="A7" s="0" t="e">
        <v>#NAME?</v>
      </c>
      <c r="B7" s="0" t="e">
        <v>#NAME?</v>
      </c>
      <c r="C7" s="0" t="e">
        <v>#NAME?</v>
      </c>
      <c r="D7" s="9" t="e">
        <v>#NAME?</v>
      </c>
      <c r="E7" s="10" t="e">
        <v>#NAME?</v>
      </c>
      <c r="F7" s="10" t="e">
        <v>#NAME?</v>
      </c>
      <c r="G7" s="10" t="e">
        <v>#NAME?</v>
      </c>
      <c r="H7" s="10" t="e">
        <v>#NAME?</v>
      </c>
      <c r="I7" s="10" t="e">
        <v>#NAME?</v>
      </c>
      <c r="J7" s="0" t="e">
        <v>#NAME?</v>
      </c>
      <c r="K7" s="10" t="e">
        <v>#NAME?</v>
      </c>
      <c r="L7" s="10" t="e">
        <v>#NAME?</v>
      </c>
      <c r="M7" s="10" t="e">
        <v>#NAME?</v>
      </c>
      <c r="N7" s="10" t="e">
        <v>#NAME?</v>
      </c>
      <c r="O7" s="10" t="e">
        <v>#NAME?</v>
      </c>
      <c r="P7" s="10" t="e">
        <v>#NAME?</v>
      </c>
    </row>
    <row r="8" customFormat="false" ht="13.8" hidden="false" customHeight="false" outlineLevel="0" collapsed="false">
      <c r="A8" s="0" t="e">
        <v>#NAME?</v>
      </c>
      <c r="B8" s="0" t="e">
        <v>#NAME?</v>
      </c>
      <c r="C8" s="0" t="e">
        <v>#NAME?</v>
      </c>
      <c r="D8" s="9" t="e">
        <v>#NAME?</v>
      </c>
      <c r="E8" s="10" t="e">
        <v>#NAME?</v>
      </c>
      <c r="F8" s="10" t="e">
        <v>#NAME?</v>
      </c>
      <c r="G8" s="10" t="e">
        <v>#NAME?</v>
      </c>
      <c r="H8" s="10" t="e">
        <v>#NAME?</v>
      </c>
      <c r="I8" s="10" t="e">
        <v>#NAME?</v>
      </c>
      <c r="J8" s="0" t="e">
        <v>#NAME?</v>
      </c>
      <c r="K8" s="10" t="e">
        <v>#NAME?</v>
      </c>
      <c r="L8" s="10" t="e">
        <v>#NAME?</v>
      </c>
      <c r="M8" s="10" t="e">
        <v>#NAME?</v>
      </c>
      <c r="N8" s="10" t="e">
        <v>#NAME?</v>
      </c>
      <c r="O8" s="10" t="e">
        <v>#NAME?</v>
      </c>
      <c r="P8" s="10" t="e">
        <v>#NAME?</v>
      </c>
    </row>
    <row r="9" customFormat="false" ht="13.8" hidden="false" customHeight="false" outlineLevel="0" collapsed="false">
      <c r="A9" s="0" t="e">
        <v>#NAME?</v>
      </c>
      <c r="B9" s="0" t="e">
        <v>#NAME?</v>
      </c>
      <c r="C9" s="0" t="e">
        <v>#NAME?</v>
      </c>
      <c r="D9" s="9" t="e">
        <v>#NAME?</v>
      </c>
      <c r="E9" s="10" t="e">
        <v>#NAME?</v>
      </c>
      <c r="F9" s="10" t="e">
        <v>#NAME?</v>
      </c>
      <c r="G9" s="10" t="e">
        <v>#NAME?</v>
      </c>
      <c r="H9" s="10" t="e">
        <v>#NAME?</v>
      </c>
      <c r="I9" s="10" t="e">
        <v>#NAME?</v>
      </c>
      <c r="J9" s="0" t="e">
        <v>#NAME?</v>
      </c>
      <c r="K9" s="10" t="e">
        <v>#NAME?</v>
      </c>
      <c r="L9" s="10" t="e">
        <v>#NAME?</v>
      </c>
      <c r="M9" s="10" t="e">
        <v>#NAME?</v>
      </c>
      <c r="N9" s="10" t="e">
        <v>#NAME?</v>
      </c>
      <c r="O9" s="10" t="e">
        <v>#NAME?</v>
      </c>
      <c r="P9" s="10" t="e">
        <v>#NAME?</v>
      </c>
    </row>
    <row r="10" customFormat="false" ht="13.8" hidden="false" customHeight="false" outlineLevel="0" collapsed="false">
      <c r="A10" s="0" t="e">
        <v>#NAME?</v>
      </c>
      <c r="B10" s="0" t="e">
        <v>#NAME?</v>
      </c>
      <c r="C10" s="0" t="e">
        <v>#NAME?</v>
      </c>
      <c r="D10" s="9" t="e">
        <v>#NAME?</v>
      </c>
      <c r="E10" s="10" t="e">
        <v>#NAME?</v>
      </c>
      <c r="F10" s="10" t="e">
        <v>#NAME?</v>
      </c>
      <c r="G10" s="10" t="e">
        <v>#NAME?</v>
      </c>
      <c r="H10" s="10" t="e">
        <v>#NAME?</v>
      </c>
      <c r="I10" s="10" t="e">
        <v>#NAME?</v>
      </c>
      <c r="J10" s="0" t="e">
        <v>#NAME?</v>
      </c>
      <c r="K10" s="10" t="e">
        <v>#NAME?</v>
      </c>
      <c r="L10" s="10" t="e">
        <v>#NAME?</v>
      </c>
      <c r="M10" s="10" t="e">
        <v>#NAME?</v>
      </c>
      <c r="N10" s="10" t="e">
        <v>#NAME?</v>
      </c>
      <c r="O10" s="10" t="e">
        <v>#NAME?</v>
      </c>
      <c r="P10" s="10" t="e">
        <v>#NAME?</v>
      </c>
    </row>
    <row r="11" customFormat="false" ht="13.8" hidden="false" customHeight="false" outlineLevel="0" collapsed="false">
      <c r="A11" s="0" t="e">
        <v>#NAME?</v>
      </c>
      <c r="B11" s="0" t="e">
        <v>#NAME?</v>
      </c>
      <c r="C11" s="0" t="e">
        <v>#NAME?</v>
      </c>
      <c r="D11" s="9" t="e">
        <v>#NAME?</v>
      </c>
      <c r="E11" s="10" t="e">
        <v>#NAME?</v>
      </c>
      <c r="F11" s="10" t="e">
        <v>#NAME?</v>
      </c>
      <c r="G11" s="10" t="e">
        <v>#NAME?</v>
      </c>
      <c r="H11" s="10" t="e">
        <v>#NAME?</v>
      </c>
      <c r="I11" s="10" t="e">
        <v>#NAME?</v>
      </c>
      <c r="J11" s="0" t="e">
        <v>#NAME?</v>
      </c>
      <c r="K11" s="10" t="e">
        <v>#NAME?</v>
      </c>
      <c r="L11" s="10" t="e">
        <v>#NAME?</v>
      </c>
      <c r="M11" s="10" t="e">
        <v>#NAME?</v>
      </c>
      <c r="N11" s="10" t="e">
        <v>#NAME?</v>
      </c>
      <c r="O11" s="10" t="e">
        <v>#NAME?</v>
      </c>
      <c r="P11" s="10" t="e">
        <v>#NAME?</v>
      </c>
    </row>
    <row r="12" customFormat="false" ht="13.8" hidden="false" customHeight="false" outlineLevel="0" collapsed="false">
      <c r="A12" s="0" t="e">
        <v>#NAME?</v>
      </c>
      <c r="B12" s="0" t="e">
        <v>#NAME?</v>
      </c>
      <c r="C12" s="0" t="e">
        <v>#NAME?</v>
      </c>
      <c r="D12" s="9" t="e">
        <v>#NAME?</v>
      </c>
      <c r="E12" s="10" t="e">
        <v>#NAME?</v>
      </c>
      <c r="F12" s="10" t="e">
        <v>#NAME?</v>
      </c>
      <c r="G12" s="10" t="e">
        <v>#NAME?</v>
      </c>
      <c r="H12" s="10" t="e">
        <v>#NAME?</v>
      </c>
      <c r="I12" s="10" t="e">
        <v>#NAME?</v>
      </c>
      <c r="J12" s="0" t="e">
        <v>#NAME?</v>
      </c>
      <c r="K12" s="10" t="e">
        <v>#NAME?</v>
      </c>
      <c r="L12" s="10" t="e">
        <v>#NAME?</v>
      </c>
      <c r="M12" s="10" t="e">
        <v>#NAME?</v>
      </c>
      <c r="N12" s="10" t="e">
        <v>#NAME?</v>
      </c>
      <c r="O12" s="10" t="e">
        <v>#NAME?</v>
      </c>
      <c r="P12" s="10" t="e">
        <v>#NAME?</v>
      </c>
    </row>
    <row r="13" customFormat="false" ht="13.8" hidden="false" customHeight="false" outlineLevel="0" collapsed="false">
      <c r="A13" s="0" t="e">
        <v>#NAME?</v>
      </c>
      <c r="B13" s="0" t="e">
        <v>#NAME?</v>
      </c>
      <c r="C13" s="0" t="e">
        <v>#NAME?</v>
      </c>
      <c r="D13" s="10" t="e">
        <v>#NAME?</v>
      </c>
      <c r="E13" s="10" t="e">
        <v>#NAME?</v>
      </c>
      <c r="F13" s="10" t="e">
        <v>#NAME?</v>
      </c>
      <c r="G13" s="10" t="e">
        <v>#NAME?</v>
      </c>
      <c r="H13" s="10" t="e">
        <v>#NAME?</v>
      </c>
      <c r="I13" s="10" t="e">
        <v>#NAME?</v>
      </c>
      <c r="J13" s="0" t="e">
        <v>#NAME?</v>
      </c>
      <c r="K13" s="10" t="e">
        <v>#NAME?</v>
      </c>
      <c r="L13" s="10" t="e">
        <v>#NAME?</v>
      </c>
      <c r="M13" s="10" t="e">
        <v>#NAME?</v>
      </c>
      <c r="N13" s="10" t="e">
        <v>#NAME?</v>
      </c>
      <c r="O13" s="10" t="e">
        <v>#NAME?</v>
      </c>
      <c r="P13" s="10" t="e">
        <v>#NAME?</v>
      </c>
    </row>
    <row r="14" customFormat="false" ht="13.8" hidden="false" customHeight="false" outlineLevel="0" collapsed="false">
      <c r="A14" s="0" t="e">
        <v>#NAME?</v>
      </c>
      <c r="B14" s="0" t="e">
        <v>#NAME?</v>
      </c>
      <c r="C14" s="0" t="e">
        <v>#NAME?</v>
      </c>
      <c r="D14" s="10" t="e">
        <v>#NAME?</v>
      </c>
      <c r="E14" s="10" t="e">
        <v>#NAME?</v>
      </c>
      <c r="F14" s="10" t="e">
        <v>#NAME?</v>
      </c>
      <c r="G14" s="10" t="e">
        <v>#NAME?</v>
      </c>
      <c r="H14" s="10" t="e">
        <v>#NAME?</v>
      </c>
      <c r="I14" s="10" t="e">
        <v>#NAME?</v>
      </c>
      <c r="J14" s="0" t="e">
        <v>#NAME?</v>
      </c>
      <c r="K14" s="10" t="e">
        <v>#NAME?</v>
      </c>
      <c r="L14" s="10" t="e">
        <v>#NAME?</v>
      </c>
      <c r="M14" s="10" t="e">
        <v>#NAME?</v>
      </c>
      <c r="N14" s="10" t="e">
        <v>#NAME?</v>
      </c>
      <c r="O14" s="10" t="e">
        <v>#NAME?</v>
      </c>
      <c r="P14" s="10" t="e">
        <v>#NAME?</v>
      </c>
    </row>
    <row r="15" customFormat="false" ht="13.8" hidden="false" customHeight="false" outlineLevel="0" collapsed="false">
      <c r="A15" s="0" t="e">
        <v>#NAME?</v>
      </c>
      <c r="B15" s="0" t="e">
        <v>#NAME?</v>
      </c>
      <c r="C15" s="0" t="e">
        <v>#NAME?</v>
      </c>
      <c r="D15" s="10" t="e">
        <v>#NAME?</v>
      </c>
      <c r="E15" s="10" t="e">
        <v>#NAME?</v>
      </c>
      <c r="F15" s="10" t="e">
        <v>#NAME?</v>
      </c>
      <c r="G15" s="10" t="e">
        <v>#NAME?</v>
      </c>
      <c r="H15" s="10" t="e">
        <v>#NAME?</v>
      </c>
      <c r="I15" s="10" t="e">
        <v>#NAME?</v>
      </c>
      <c r="J15" s="0" t="e">
        <v>#NAME?</v>
      </c>
      <c r="K15" s="10" t="e">
        <v>#NAME?</v>
      </c>
      <c r="L15" s="10" t="e">
        <v>#NAME?</v>
      </c>
      <c r="M15" s="10" t="e">
        <v>#NAME?</v>
      </c>
      <c r="N15" s="10" t="e">
        <v>#NAME?</v>
      </c>
      <c r="O15" s="10" t="e">
        <v>#NAME?</v>
      </c>
      <c r="P15" s="10" t="e">
        <v>#NAME?</v>
      </c>
    </row>
    <row r="16" customFormat="false" ht="13.8" hidden="false" customHeight="false" outlineLevel="0" collapsed="false">
      <c r="A16" s="0" t="e">
        <v>#NAME?</v>
      </c>
      <c r="B16" s="0" t="e">
        <v>#NAME?</v>
      </c>
      <c r="C16" s="0" t="e">
        <v>#NAME?</v>
      </c>
      <c r="D16" s="10" t="e">
        <v>#NAME?</v>
      </c>
      <c r="E16" s="10" t="e">
        <v>#NAME?</v>
      </c>
      <c r="F16" s="10" t="e">
        <v>#NAME?</v>
      </c>
      <c r="G16" s="10" t="e">
        <v>#NAME?</v>
      </c>
      <c r="H16" s="10" t="e">
        <v>#NAME?</v>
      </c>
      <c r="I16" s="10" t="e">
        <v>#NAME?</v>
      </c>
      <c r="J16" s="0" t="e">
        <v>#NAME?</v>
      </c>
      <c r="K16" s="10" t="e">
        <v>#NAME?</v>
      </c>
      <c r="L16" s="10" t="e">
        <v>#NAME?</v>
      </c>
      <c r="M16" s="10" t="e">
        <v>#NAME?</v>
      </c>
      <c r="N16" s="10" t="e">
        <v>#NAME?</v>
      </c>
      <c r="O16" s="10" t="e">
        <v>#NAME?</v>
      </c>
      <c r="P16" s="10" t="e">
        <v>#NAME?</v>
      </c>
    </row>
    <row r="17" customFormat="false" ht="13.8" hidden="false" customHeight="false" outlineLevel="0" collapsed="false">
      <c r="A17" s="0" t="e">
        <v>#NAME?</v>
      </c>
      <c r="B17" s="0" t="e">
        <v>#NAME?</v>
      </c>
      <c r="C17" s="0" t="e">
        <v>#NAME?</v>
      </c>
      <c r="D17" s="10" t="e">
        <v>#NAME?</v>
      </c>
      <c r="E17" s="10" t="e">
        <v>#NAME?</v>
      </c>
      <c r="F17" s="10" t="e">
        <v>#NAME?</v>
      </c>
      <c r="G17" s="10" t="e">
        <v>#NAME?</v>
      </c>
      <c r="H17" s="10" t="e">
        <v>#NAME?</v>
      </c>
      <c r="I17" s="10" t="e">
        <v>#NAME?</v>
      </c>
      <c r="J17" s="0" t="e">
        <v>#NAME?</v>
      </c>
      <c r="K17" s="10" t="e">
        <v>#NAME?</v>
      </c>
      <c r="L17" s="10" t="e">
        <v>#NAME?</v>
      </c>
      <c r="M17" s="10" t="e">
        <v>#NAME?</v>
      </c>
      <c r="N17" s="10" t="e">
        <v>#NAME?</v>
      </c>
      <c r="O17" s="10" t="e">
        <v>#NAME?</v>
      </c>
      <c r="P17" s="10" t="e">
        <v>#NAME?</v>
      </c>
    </row>
    <row r="18" customFormat="false" ht="13.8" hidden="false" customHeight="false" outlineLevel="0" collapsed="false">
      <c r="A18" s="0" t="e">
        <v>#NAME?</v>
      </c>
      <c r="B18" s="0" t="e">
        <v>#NAME?</v>
      </c>
      <c r="C18" s="0" t="e">
        <v>#NAME?</v>
      </c>
      <c r="D18" s="10" t="e">
        <v>#NAME?</v>
      </c>
      <c r="E18" s="10" t="e">
        <v>#NAME?</v>
      </c>
      <c r="F18" s="10" t="e">
        <v>#NAME?</v>
      </c>
      <c r="G18" s="10" t="e">
        <v>#NAME?</v>
      </c>
      <c r="H18" s="10" t="e">
        <v>#NAME?</v>
      </c>
      <c r="I18" s="10" t="e">
        <v>#NAME?</v>
      </c>
      <c r="J18" s="0" t="e">
        <v>#NAME?</v>
      </c>
      <c r="K18" s="10" t="e">
        <v>#NAME?</v>
      </c>
      <c r="L18" s="10" t="e">
        <v>#NAME?</v>
      </c>
      <c r="M18" s="10" t="e">
        <v>#NAME?</v>
      </c>
      <c r="N18" s="10" t="e">
        <v>#NAME?</v>
      </c>
      <c r="O18" s="10" t="e">
        <v>#NAME?</v>
      </c>
      <c r="P18" s="10" t="e">
        <v>#NAME?</v>
      </c>
    </row>
    <row r="19" customFormat="false" ht="13.8" hidden="false" customHeight="false" outlineLevel="0" collapsed="false">
      <c r="A19" s="0" t="e">
        <v>#NAME?</v>
      </c>
      <c r="B19" s="0" t="e">
        <v>#NAME?</v>
      </c>
      <c r="C19" s="0" t="e">
        <v>#NAME?</v>
      </c>
      <c r="D19" s="10" t="e">
        <v>#NAME?</v>
      </c>
      <c r="E19" s="10" t="e">
        <v>#NAME?</v>
      </c>
      <c r="F19" s="10" t="e">
        <v>#NAME?</v>
      </c>
      <c r="G19" s="10" t="e">
        <v>#NAME?</v>
      </c>
      <c r="H19" s="10" t="e">
        <v>#NAME?</v>
      </c>
      <c r="I19" s="10" t="e">
        <v>#NAME?</v>
      </c>
      <c r="J19" s="0" t="e">
        <v>#NAME?</v>
      </c>
      <c r="K19" s="10" t="e">
        <v>#NAME?</v>
      </c>
      <c r="L19" s="10" t="e">
        <v>#NAME?</v>
      </c>
      <c r="M19" s="10" t="e">
        <v>#NAME?</v>
      </c>
      <c r="N19" s="10" t="e">
        <v>#NAME?</v>
      </c>
      <c r="O19" s="10" t="e">
        <v>#NAME?</v>
      </c>
      <c r="P19" s="10" t="e">
        <v>#NAME?</v>
      </c>
    </row>
    <row r="20" customFormat="false" ht="13.8" hidden="false" customHeight="false" outlineLevel="0" collapsed="false">
      <c r="A20" s="0" t="e">
        <v>#NAME?</v>
      </c>
      <c r="B20" s="0" t="e">
        <v>#NAME?</v>
      </c>
      <c r="C20" s="0" t="e">
        <v>#NAME?</v>
      </c>
      <c r="D20" s="10" t="e">
        <v>#NAME?</v>
      </c>
      <c r="E20" s="10" t="e">
        <v>#NAME?</v>
      </c>
      <c r="F20" s="10" t="e">
        <v>#NAME?</v>
      </c>
      <c r="G20" s="10" t="e">
        <v>#NAME?</v>
      </c>
      <c r="H20" s="10" t="e">
        <v>#NAME?</v>
      </c>
      <c r="I20" s="10" t="e">
        <v>#NAME?</v>
      </c>
      <c r="J20" s="0" t="e">
        <v>#NAME?</v>
      </c>
      <c r="K20" s="10" t="e">
        <v>#NAME?</v>
      </c>
      <c r="L20" s="10" t="e">
        <v>#NAME?</v>
      </c>
      <c r="M20" s="10" t="e">
        <v>#NAME?</v>
      </c>
      <c r="N20" s="10" t="e">
        <v>#NAME?</v>
      </c>
      <c r="O20" s="10" t="e">
        <v>#NAME?</v>
      </c>
      <c r="P20" s="10" t="e">
        <v>#NAME?</v>
      </c>
    </row>
    <row r="21" customFormat="false" ht="13.8" hidden="false" customHeight="false" outlineLevel="0" collapsed="false">
      <c r="A21" s="0" t="e">
        <v>#NAME?</v>
      </c>
      <c r="B21" s="0" t="e">
        <v>#NAME?</v>
      </c>
      <c r="C21" s="0" t="e">
        <v>#NAME?</v>
      </c>
      <c r="D21" s="10" t="e">
        <v>#NAME?</v>
      </c>
      <c r="E21" s="10" t="e">
        <v>#NAME?</v>
      </c>
      <c r="F21" s="10" t="e">
        <v>#NAME?</v>
      </c>
      <c r="G21" s="10" t="e">
        <v>#NAME?</v>
      </c>
      <c r="H21" s="10" t="e">
        <v>#NAME?</v>
      </c>
      <c r="I21" s="10" t="e">
        <v>#NAME?</v>
      </c>
      <c r="J21" s="0" t="e">
        <v>#NAME?</v>
      </c>
      <c r="K21" s="10" t="e">
        <v>#NAME?</v>
      </c>
      <c r="L21" s="10" t="e">
        <v>#NAME?</v>
      </c>
      <c r="M21" s="10" t="e">
        <v>#NAME?</v>
      </c>
      <c r="N21" s="10" t="e">
        <v>#NAME?</v>
      </c>
      <c r="O21" s="10" t="e">
        <v>#NAME?</v>
      </c>
      <c r="P21" s="10" t="e">
        <v>#NAME?</v>
      </c>
    </row>
    <row r="22" customFormat="false" ht="13.8" hidden="false" customHeight="false" outlineLevel="0" collapsed="false">
      <c r="A22" s="0" t="e">
        <v>#NAME?</v>
      </c>
      <c r="B22" s="0" t="e">
        <v>#NAME?</v>
      </c>
      <c r="C22" s="0" t="e">
        <v>#NAME?</v>
      </c>
      <c r="D22" s="10" t="e">
        <v>#NAME?</v>
      </c>
      <c r="E22" s="10" t="e">
        <v>#NAME?</v>
      </c>
      <c r="F22" s="10" t="e">
        <v>#NAME?</v>
      </c>
      <c r="G22" s="10" t="e">
        <v>#NAME?</v>
      </c>
      <c r="H22" s="10" t="e">
        <v>#NAME?</v>
      </c>
      <c r="I22" s="10" t="e">
        <v>#NAME?</v>
      </c>
      <c r="J22" s="0" t="e">
        <v>#NAME?</v>
      </c>
      <c r="K22" s="10" t="e">
        <v>#NAME?</v>
      </c>
      <c r="L22" s="10" t="e">
        <v>#NAME?</v>
      </c>
      <c r="M22" s="10" t="e">
        <v>#NAME?</v>
      </c>
      <c r="N22" s="10" t="e">
        <v>#NAME?</v>
      </c>
      <c r="O22" s="10" t="e">
        <v>#NAME?</v>
      </c>
      <c r="P22" s="10" t="e">
        <v>#NAME?</v>
      </c>
    </row>
    <row r="23" customFormat="false" ht="13.8" hidden="false" customHeight="false" outlineLevel="0" collapsed="false">
      <c r="A23" s="0" t="e">
        <v>#NAME?</v>
      </c>
      <c r="B23" s="0" t="e">
        <v>#NAME?</v>
      </c>
      <c r="C23" s="0" t="e">
        <v>#NAME?</v>
      </c>
      <c r="D23" s="10" t="e">
        <v>#NAME?</v>
      </c>
      <c r="E23" s="10" t="e">
        <v>#NAME?</v>
      </c>
      <c r="F23" s="10" t="e">
        <v>#NAME?</v>
      </c>
      <c r="G23" s="10" t="e">
        <v>#NAME?</v>
      </c>
      <c r="H23" s="10" t="e">
        <v>#NAME?</v>
      </c>
      <c r="I23" s="10" t="e">
        <v>#NAME?</v>
      </c>
      <c r="J23" s="0" t="e">
        <v>#NAME?</v>
      </c>
      <c r="K23" s="10" t="e">
        <v>#NAME?</v>
      </c>
      <c r="L23" s="10" t="e">
        <v>#NAME?</v>
      </c>
      <c r="M23" s="10" t="e">
        <v>#NAME?</v>
      </c>
      <c r="N23" s="10" t="e">
        <v>#NAME?</v>
      </c>
      <c r="O23" s="10" t="e">
        <v>#NAME?</v>
      </c>
      <c r="P23" s="10" t="e">
        <v>#NAME?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2025-09-29T17:51:44Z</dcterms:created>
  <dc:creator>Yohance Glasgow</dc:creator>
  <dc:description/>
  <dc:language>en-US</dc:language>
  <cp:lastModifiedBy/>
  <dcterms:modified xsi:type="dcterms:W3CDTF">2025-11-25T10:33:03Z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