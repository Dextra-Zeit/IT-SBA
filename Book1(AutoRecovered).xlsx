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han\Desktop\"/>
    </mc:Choice>
  </mc:AlternateContent>
  <xr:revisionPtr revIDLastSave="0" documentId="13_ncr:41000001_{37B3E227-24C6-6D47-9B2A-F4FA0EDD437D}" xr6:coauthVersionLast="47" xr6:coauthVersionMax="47" xr10:uidLastSave="{00000000-0000-0000-0000-000000000000}"/>
  <bookViews>
    <workbookView xWindow="-120" yWindow="-120" windowWidth="20730" windowHeight="11760" activeTab="2" xr2:uid="{AA1A7913-05CB-41C6-B770-2EFAD8D809BF}"/>
  </bookViews>
  <sheets>
    <sheet name="Qualifying Salary" sheetId="1" r:id="rId1"/>
    <sheet name="Chart 1" sheetId="9" r:id="rId2"/>
    <sheet name="Applicant Details (2)" sheetId="10" r:id="rId3"/>
    <sheet name="Applicant Details" sheetId="2" r:id="rId4"/>
    <sheet name="Filtered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0" l="1"/>
  <c r="P17" i="10"/>
  <c r="N31" i="10"/>
  <c r="L31" i="10"/>
  <c r="P31" i="10"/>
  <c r="I31" i="10"/>
  <c r="J31" i="10"/>
  <c r="G31" i="10"/>
  <c r="H31" i="10"/>
  <c r="E31" i="10"/>
  <c r="N30" i="10"/>
  <c r="L30" i="10"/>
  <c r="I30" i="10"/>
  <c r="J30" i="10"/>
  <c r="E30" i="10"/>
  <c r="G30" i="10"/>
  <c r="H30" i="10"/>
  <c r="P29" i="10"/>
  <c r="N29" i="10"/>
  <c r="L29" i="10"/>
  <c r="J29" i="10"/>
  <c r="I29" i="10"/>
  <c r="E29" i="10"/>
  <c r="G29" i="10"/>
  <c r="H29" i="10"/>
  <c r="N28" i="10"/>
  <c r="L28" i="10"/>
  <c r="P28" i="10"/>
  <c r="Q28" i="10"/>
  <c r="I28" i="10"/>
  <c r="J28" i="10"/>
  <c r="G28" i="10"/>
  <c r="H28" i="10"/>
  <c r="E28" i="10"/>
  <c r="N27" i="10"/>
  <c r="L27" i="10"/>
  <c r="I27" i="10"/>
  <c r="J27" i="10"/>
  <c r="E27" i="10"/>
  <c r="G27" i="10"/>
  <c r="H27" i="10"/>
  <c r="P26" i="10"/>
  <c r="N26" i="10"/>
  <c r="L26" i="10"/>
  <c r="I26" i="10"/>
  <c r="J26" i="10"/>
  <c r="E26" i="10"/>
  <c r="G26" i="10"/>
  <c r="H26" i="10"/>
  <c r="N25" i="10"/>
  <c r="L25" i="10"/>
  <c r="I25" i="10"/>
  <c r="J25" i="10"/>
  <c r="E25" i="10"/>
  <c r="G25" i="10"/>
  <c r="H25" i="10"/>
  <c r="N24" i="10"/>
  <c r="L24" i="10"/>
  <c r="I24" i="10"/>
  <c r="J24" i="10"/>
  <c r="G24" i="10"/>
  <c r="H24" i="10"/>
  <c r="E24" i="10"/>
  <c r="N23" i="10"/>
  <c r="L23" i="10"/>
  <c r="P23" i="10"/>
  <c r="J23" i="10"/>
  <c r="I23" i="10"/>
  <c r="E23" i="10"/>
  <c r="G23" i="10"/>
  <c r="H23" i="10"/>
  <c r="N22" i="10"/>
  <c r="L22" i="10"/>
  <c r="P22" i="10"/>
  <c r="I22" i="10"/>
  <c r="J22" i="10"/>
  <c r="E22" i="10"/>
  <c r="G22" i="10"/>
  <c r="H22" i="10"/>
  <c r="N21" i="10"/>
  <c r="P21" i="10"/>
  <c r="L21" i="10"/>
  <c r="I21" i="10"/>
  <c r="J21" i="10"/>
  <c r="E21" i="10"/>
  <c r="G21" i="10"/>
  <c r="H21" i="10"/>
  <c r="N20" i="10"/>
  <c r="L20" i="10"/>
  <c r="I20" i="10"/>
  <c r="J20" i="10"/>
  <c r="G20" i="10"/>
  <c r="H20" i="10"/>
  <c r="E20" i="10"/>
  <c r="N19" i="10"/>
  <c r="L19" i="10"/>
  <c r="P19" i="10"/>
  <c r="J19" i="10"/>
  <c r="I19" i="10"/>
  <c r="E19" i="10"/>
  <c r="G19" i="10"/>
  <c r="H19" i="10"/>
  <c r="N18" i="10"/>
  <c r="P18" i="10"/>
  <c r="L18" i="10"/>
  <c r="I18" i="10"/>
  <c r="J18" i="10"/>
  <c r="E18" i="10"/>
  <c r="G18" i="10"/>
  <c r="H18" i="10"/>
  <c r="N17" i="10"/>
  <c r="L17" i="10"/>
  <c r="I17" i="10"/>
  <c r="J17" i="10"/>
  <c r="E17" i="10"/>
  <c r="G17" i="10"/>
  <c r="H17" i="10"/>
  <c r="N16" i="10"/>
  <c r="L16" i="10"/>
  <c r="P16" i="10"/>
  <c r="I16" i="10"/>
  <c r="J16" i="10"/>
  <c r="G16" i="10"/>
  <c r="H16" i="10"/>
  <c r="E16" i="10"/>
  <c r="N15" i="10"/>
  <c r="L15" i="10"/>
  <c r="P15" i="10"/>
  <c r="Q15" i="10"/>
  <c r="J15" i="10"/>
  <c r="I15" i="10"/>
  <c r="E15" i="10"/>
  <c r="G15" i="10"/>
  <c r="H15" i="10"/>
  <c r="P14" i="10"/>
  <c r="N14" i="10"/>
  <c r="L14" i="10"/>
  <c r="I14" i="10"/>
  <c r="J14" i="10"/>
  <c r="G14" i="10"/>
  <c r="H14" i="10"/>
  <c r="E14" i="10"/>
  <c r="N13" i="10"/>
  <c r="L13" i="10"/>
  <c r="J13" i="10"/>
  <c r="I13" i="10"/>
  <c r="E13" i="10"/>
  <c r="G13" i="10"/>
  <c r="H13" i="10"/>
  <c r="N12" i="10"/>
  <c r="L12" i="10"/>
  <c r="P12" i="10"/>
  <c r="I12" i="10"/>
  <c r="J12" i="10"/>
  <c r="E12" i="10"/>
  <c r="G12" i="10"/>
  <c r="H12" i="10"/>
  <c r="N11" i="10"/>
  <c r="L11" i="10"/>
  <c r="I11" i="10"/>
  <c r="J11" i="10"/>
  <c r="E11" i="10"/>
  <c r="G11" i="10"/>
  <c r="H11" i="10"/>
  <c r="N10" i="10"/>
  <c r="L10" i="10"/>
  <c r="P10" i="10"/>
  <c r="I10" i="10"/>
  <c r="J10" i="10"/>
  <c r="G10" i="10"/>
  <c r="H10" i="10"/>
  <c r="E10" i="10"/>
  <c r="N9" i="10"/>
  <c r="L9" i="10"/>
  <c r="J9" i="10"/>
  <c r="I9" i="10"/>
  <c r="E9" i="10"/>
  <c r="G9" i="10"/>
  <c r="H9" i="10"/>
  <c r="N8" i="10"/>
  <c r="L8" i="10"/>
  <c r="I8" i="10"/>
  <c r="J8" i="10"/>
  <c r="E8" i="10"/>
  <c r="G8" i="10"/>
  <c r="H8" i="10"/>
  <c r="N7" i="10"/>
  <c r="L7" i="10"/>
  <c r="I7" i="10"/>
  <c r="J7" i="10"/>
  <c r="E7" i="10"/>
  <c r="G7" i="10"/>
  <c r="H7" i="10"/>
  <c r="N6" i="10"/>
  <c r="L6" i="10"/>
  <c r="P6" i="10"/>
  <c r="I6" i="10"/>
  <c r="J6" i="10"/>
  <c r="G6" i="10"/>
  <c r="H6" i="10"/>
  <c r="E6" i="10"/>
  <c r="N5" i="10"/>
  <c r="L5" i="10"/>
  <c r="I5" i="10"/>
  <c r="J5" i="10"/>
  <c r="E5" i="10"/>
  <c r="G5" i="10"/>
  <c r="H5" i="10"/>
  <c r="N4" i="10"/>
  <c r="L4" i="10"/>
  <c r="I4" i="10"/>
  <c r="J4" i="10"/>
  <c r="E4" i="10"/>
  <c r="G4" i="10"/>
  <c r="H4" i="10"/>
  <c r="N3" i="10"/>
  <c r="L3" i="10"/>
  <c r="P3" i="10"/>
  <c r="I3" i="10"/>
  <c r="J3" i="10"/>
  <c r="E3" i="10"/>
  <c r="G3" i="10"/>
  <c r="H3" i="10"/>
  <c r="N2" i="10"/>
  <c r="L2" i="10"/>
  <c r="P2" i="10"/>
  <c r="I2" i="10"/>
  <c r="J2" i="10"/>
  <c r="E2" i="10"/>
  <c r="G2" i="10"/>
  <c r="H2" i="10"/>
  <c r="E37" i="2"/>
  <c r="E36" i="2"/>
  <c r="E35" i="2"/>
  <c r="E32" i="2"/>
  <c r="G32" i="2"/>
  <c r="H32" i="2"/>
  <c r="I32" i="2"/>
  <c r="J32" i="2"/>
  <c r="L32" i="2"/>
  <c r="N32" i="2"/>
  <c r="I31" i="2"/>
  <c r="J31" i="2"/>
  <c r="L31" i="2"/>
  <c r="N31" i="2"/>
  <c r="I14" i="2"/>
  <c r="J14" i="2"/>
  <c r="L14" i="2"/>
  <c r="N14" i="2"/>
  <c r="I15" i="2"/>
  <c r="J15" i="2"/>
  <c r="L15" i="2"/>
  <c r="N15" i="2"/>
  <c r="I7" i="2"/>
  <c r="J7" i="2"/>
  <c r="L7" i="2"/>
  <c r="N7" i="2"/>
  <c r="I24" i="2"/>
  <c r="J24" i="2"/>
  <c r="L24" i="2"/>
  <c r="N24" i="2"/>
  <c r="I25" i="2"/>
  <c r="J25" i="2"/>
  <c r="L25" i="2"/>
  <c r="N25" i="2"/>
  <c r="I8" i="2"/>
  <c r="J8" i="2"/>
  <c r="L8" i="2"/>
  <c r="N8" i="2"/>
  <c r="I16" i="2"/>
  <c r="J16" i="2"/>
  <c r="L16" i="2"/>
  <c r="N16" i="2"/>
  <c r="I26" i="2"/>
  <c r="J26" i="2"/>
  <c r="L26" i="2"/>
  <c r="N26" i="2"/>
  <c r="I17" i="2"/>
  <c r="J17" i="2"/>
  <c r="L17" i="2"/>
  <c r="N17" i="2"/>
  <c r="I18" i="2"/>
  <c r="J18" i="2"/>
  <c r="L18" i="2"/>
  <c r="N18" i="2"/>
  <c r="E31" i="2"/>
  <c r="G31" i="2"/>
  <c r="H31" i="2"/>
  <c r="E14" i="2"/>
  <c r="G14" i="2"/>
  <c r="H14" i="2"/>
  <c r="E15" i="2"/>
  <c r="G15" i="2"/>
  <c r="H15" i="2"/>
  <c r="E7" i="2"/>
  <c r="G7" i="2"/>
  <c r="H7" i="2"/>
  <c r="E24" i="2"/>
  <c r="G24" i="2"/>
  <c r="H24" i="2"/>
  <c r="E25" i="2"/>
  <c r="G25" i="2"/>
  <c r="H25" i="2"/>
  <c r="E8" i="2"/>
  <c r="G8" i="2"/>
  <c r="H8" i="2"/>
  <c r="E16" i="2"/>
  <c r="G16" i="2"/>
  <c r="H16" i="2"/>
  <c r="E26" i="2"/>
  <c r="G26" i="2"/>
  <c r="H26" i="2"/>
  <c r="E17" i="2"/>
  <c r="G17" i="2"/>
  <c r="H17" i="2"/>
  <c r="E18" i="2"/>
  <c r="G18" i="2"/>
  <c r="H18" i="2"/>
  <c r="N6" i="2"/>
  <c r="N28" i="2"/>
  <c r="N27" i="2"/>
  <c r="N5" i="2"/>
  <c r="N3" i="2"/>
  <c r="N29" i="2"/>
  <c r="N21" i="2"/>
  <c r="N4" i="2"/>
  <c r="N13" i="2"/>
  <c r="N23" i="2"/>
  <c r="N19" i="2"/>
  <c r="N12" i="2"/>
  <c r="N10" i="2"/>
  <c r="N22" i="2"/>
  <c r="N30" i="2"/>
  <c r="N11" i="2"/>
  <c r="N20" i="2"/>
  <c r="N9" i="2"/>
  <c r="L6" i="2"/>
  <c r="L28" i="2"/>
  <c r="L27" i="2"/>
  <c r="L5" i="2"/>
  <c r="L3" i="2"/>
  <c r="L29" i="2"/>
  <c r="L21" i="2"/>
  <c r="L4" i="2"/>
  <c r="L13" i="2"/>
  <c r="L23" i="2"/>
  <c r="L19" i="2"/>
  <c r="L12" i="2"/>
  <c r="L10" i="2"/>
  <c r="L22" i="2"/>
  <c r="L30" i="2"/>
  <c r="L11" i="2"/>
  <c r="L20" i="2"/>
  <c r="L9" i="2"/>
  <c r="I6" i="2"/>
  <c r="J6" i="2"/>
  <c r="I28" i="2"/>
  <c r="J28" i="2"/>
  <c r="I27" i="2"/>
  <c r="J27" i="2"/>
  <c r="I5" i="2"/>
  <c r="J5" i="2"/>
  <c r="I3" i="2"/>
  <c r="J3" i="2"/>
  <c r="I29" i="2"/>
  <c r="J29" i="2"/>
  <c r="I21" i="2"/>
  <c r="J21" i="2"/>
  <c r="I4" i="2"/>
  <c r="J4" i="2"/>
  <c r="I13" i="2"/>
  <c r="J13" i="2"/>
  <c r="I23" i="2"/>
  <c r="J23" i="2"/>
  <c r="I19" i="2"/>
  <c r="J19" i="2"/>
  <c r="I12" i="2"/>
  <c r="J12" i="2"/>
  <c r="I10" i="2"/>
  <c r="J10" i="2"/>
  <c r="I22" i="2"/>
  <c r="J22" i="2"/>
  <c r="I30" i="2"/>
  <c r="J30" i="2"/>
  <c r="I11" i="2"/>
  <c r="J11" i="2"/>
  <c r="I20" i="2"/>
  <c r="J20" i="2"/>
  <c r="I9" i="2"/>
  <c r="J9" i="2"/>
  <c r="E6" i="2"/>
  <c r="G6" i="2"/>
  <c r="H6" i="2"/>
  <c r="E28" i="2"/>
  <c r="G28" i="2"/>
  <c r="H28" i="2"/>
  <c r="E27" i="2"/>
  <c r="G27" i="2"/>
  <c r="H27" i="2"/>
  <c r="E5" i="2"/>
  <c r="G5" i="2"/>
  <c r="H5" i="2"/>
  <c r="E3" i="2"/>
  <c r="G3" i="2"/>
  <c r="H3" i="2"/>
  <c r="E29" i="2"/>
  <c r="G29" i="2"/>
  <c r="H29" i="2"/>
  <c r="E21" i="2"/>
  <c r="G21" i="2"/>
  <c r="H21" i="2"/>
  <c r="E4" i="2"/>
  <c r="G4" i="2"/>
  <c r="H4" i="2"/>
  <c r="E13" i="2"/>
  <c r="G13" i="2"/>
  <c r="H13" i="2"/>
  <c r="E23" i="2"/>
  <c r="G23" i="2"/>
  <c r="H23" i="2"/>
  <c r="E19" i="2"/>
  <c r="G19" i="2"/>
  <c r="H19" i="2"/>
  <c r="E12" i="2"/>
  <c r="G12" i="2"/>
  <c r="H12" i="2"/>
  <c r="E10" i="2"/>
  <c r="G10" i="2"/>
  <c r="H10" i="2"/>
  <c r="E22" i="2"/>
  <c r="G22" i="2"/>
  <c r="H22" i="2"/>
  <c r="E30" i="2"/>
  <c r="G30" i="2"/>
  <c r="H30" i="2"/>
  <c r="E11" i="2"/>
  <c r="G11" i="2"/>
  <c r="H11" i="2"/>
  <c r="E20" i="2"/>
  <c r="G20" i="2"/>
  <c r="H20" i="2"/>
  <c r="E9" i="2"/>
  <c r="P5" i="10"/>
  <c r="P9" i="10"/>
  <c r="P7" i="10"/>
  <c r="P13" i="10"/>
  <c r="P20" i="10"/>
  <c r="Q20" i="10"/>
  <c r="P24" i="10"/>
  <c r="Q24" i="10"/>
  <c r="P27" i="10"/>
  <c r="Q27" i="10"/>
  <c r="P4" i="10"/>
  <c r="Q4" i="10"/>
  <c r="P8" i="10"/>
  <c r="Q8" i="10"/>
  <c r="P11" i="10"/>
  <c r="Q11" i="10"/>
  <c r="P25" i="10"/>
  <c r="P30" i="10"/>
  <c r="Q30" i="10"/>
  <c r="Q29" i="10"/>
  <c r="Q3" i="10"/>
  <c r="Q7" i="10"/>
  <c r="Q13" i="10"/>
  <c r="Q26" i="10"/>
  <c r="Q10" i="10"/>
  <c r="Q17" i="10"/>
  <c r="E35" i="10"/>
  <c r="Q12" i="10"/>
  <c r="Q14" i="10"/>
  <c r="E36" i="10"/>
  <c r="Q21" i="10"/>
  <c r="Q22" i="10"/>
  <c r="Q25" i="10"/>
  <c r="Q31" i="10"/>
  <c r="E34" i="10"/>
  <c r="Q2" i="10"/>
  <c r="Q5" i="10"/>
  <c r="Q6" i="10"/>
  <c r="Q9" i="10"/>
  <c r="Q16" i="10"/>
  <c r="Q18" i="10"/>
  <c r="Q19" i="10"/>
  <c r="Q23" i="10"/>
  <c r="P32" i="2"/>
  <c r="P11" i="2"/>
  <c r="P12" i="2"/>
  <c r="P4" i="2"/>
  <c r="Q4" i="2"/>
  <c r="P5" i="2"/>
  <c r="P18" i="2"/>
  <c r="P8" i="2"/>
  <c r="Q8" i="2"/>
  <c r="Q10" i="2"/>
  <c r="P20" i="2"/>
  <c r="Q20" i="2"/>
  <c r="P10" i="2"/>
  <c r="P13" i="2"/>
  <c r="Q13" i="2"/>
  <c r="P3" i="2"/>
  <c r="Q3" i="2"/>
  <c r="P6" i="2"/>
  <c r="Q6" i="2"/>
  <c r="P30" i="2"/>
  <c r="Q30" i="2"/>
  <c r="P19" i="2"/>
  <c r="Q19" i="2"/>
  <c r="P21" i="2"/>
  <c r="Q21" i="2"/>
  <c r="P27" i="2"/>
  <c r="Q27" i="2"/>
  <c r="P9" i="2"/>
  <c r="P22" i="2"/>
  <c r="Q22" i="2"/>
  <c r="P23" i="2"/>
  <c r="Q23" i="2"/>
  <c r="P29" i="2"/>
  <c r="Q29" i="2"/>
  <c r="P28" i="2"/>
  <c r="Q28" i="2"/>
  <c r="Q12" i="2"/>
  <c r="Q5" i="2"/>
  <c r="P15" i="2"/>
  <c r="P14" i="2"/>
  <c r="P31" i="2"/>
  <c r="Q31" i="2"/>
  <c r="Q18" i="2"/>
  <c r="Q32" i="2"/>
  <c r="Q11" i="2"/>
  <c r="Q15" i="2"/>
  <c r="P26" i="2"/>
  <c r="Q26" i="2"/>
  <c r="G9" i="2"/>
  <c r="Q14" i="2"/>
  <c r="P17" i="2"/>
  <c r="Q17" i="2"/>
  <c r="P16" i="2"/>
  <c r="Q16" i="2"/>
  <c r="P25" i="2"/>
  <c r="Q25" i="2"/>
  <c r="P24" i="2"/>
  <c r="Q24" i="2"/>
  <c r="P7" i="2"/>
  <c r="Q7" i="2"/>
  <c r="H9" i="2"/>
  <c r="A2" i="6" a="1"/>
  <c r="A2" i="6"/>
  <c r="Q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<sst xmlns="http://schemas.openxmlformats.org/spreadsheetml/2006/main" count="243" uniqueCount="81">
  <si>
    <t>Qualifying Salary</t>
  </si>
  <si>
    <t>Area</t>
  </si>
  <si>
    <t>Cost</t>
  </si>
  <si>
    <t>FHD</t>
  </si>
  <si>
    <t>HHD</t>
  </si>
  <si>
    <t>LPH</t>
  </si>
  <si>
    <t>First Name</t>
  </si>
  <si>
    <t>Last Name</t>
  </si>
  <si>
    <t>Housing Community</t>
  </si>
  <si>
    <t>Basic Salary</t>
  </si>
  <si>
    <t>Bonuses &amp; allowances</t>
  </si>
  <si>
    <t>Gross Salary</t>
  </si>
  <si>
    <t>Salary Deduction</t>
  </si>
  <si>
    <t>Net Income</t>
  </si>
  <si>
    <t>Qualifying Status</t>
  </si>
  <si>
    <t>Mark</t>
  </si>
  <si>
    <t>Dave</t>
  </si>
  <si>
    <t>Bambi</t>
  </si>
  <si>
    <t>Bamboo</t>
  </si>
  <si>
    <t>Bart</t>
  </si>
  <si>
    <t>James</t>
  </si>
  <si>
    <t>Jenny</t>
  </si>
  <si>
    <t>Simpson</t>
  </si>
  <si>
    <t>Sally</t>
  </si>
  <si>
    <t>Sue</t>
  </si>
  <si>
    <t>Roy</t>
  </si>
  <si>
    <t>Troy</t>
  </si>
  <si>
    <t>Buios</t>
  </si>
  <si>
    <t>Leroy</t>
  </si>
  <si>
    <t>Daquavis</t>
  </si>
  <si>
    <t>Jerry</t>
  </si>
  <si>
    <t>Terry</t>
  </si>
  <si>
    <t>John</t>
  </si>
  <si>
    <t>Davis</t>
  </si>
  <si>
    <t>Johannes</t>
  </si>
  <si>
    <t>Bartes</t>
  </si>
  <si>
    <t>Namand</t>
  </si>
  <si>
    <t>Politik</t>
  </si>
  <si>
    <t>Moses</t>
  </si>
  <si>
    <t>Hebres</t>
  </si>
  <si>
    <t>Kattaraks</t>
  </si>
  <si>
    <t>Riverwater</t>
  </si>
  <si>
    <t>Jues</t>
  </si>
  <si>
    <t>Parlimentos</t>
  </si>
  <si>
    <t>Reddoe</t>
  </si>
  <si>
    <t>jone</t>
  </si>
  <si>
    <t>Ham</t>
  </si>
  <si>
    <t>The third</t>
  </si>
  <si>
    <t>Thompson</t>
  </si>
  <si>
    <t>Jones</t>
  </si>
  <si>
    <t>Bank Loan Amount</t>
  </si>
  <si>
    <t>Bank Repayment Amount</t>
  </si>
  <si>
    <t>Credit Card Loan Amount</t>
  </si>
  <si>
    <t>Credit Card Repayment Amount</t>
  </si>
  <si>
    <t xml:space="preserve"> Credit union loans</t>
  </si>
  <si>
    <t>Total Loan Payments</t>
  </si>
  <si>
    <t>Approval Status</t>
  </si>
  <si>
    <t>Credit Union Loans</t>
  </si>
  <si>
    <t>Bobbi</t>
  </si>
  <si>
    <t>Mjar</t>
  </si>
  <si>
    <t>Lokus</t>
  </si>
  <si>
    <t>Molior</t>
  </si>
  <si>
    <t>Korn</t>
  </si>
  <si>
    <t>Marge</t>
  </si>
  <si>
    <t>Flakeson</t>
  </si>
  <si>
    <t>Yam</t>
  </si>
  <si>
    <t>Jam</t>
  </si>
  <si>
    <t>Pickle</t>
  </si>
  <si>
    <t>Jack</t>
  </si>
  <si>
    <t>Berry</t>
  </si>
  <si>
    <t>June</t>
  </si>
  <si>
    <t>May</t>
  </si>
  <si>
    <t>Holly</t>
  </si>
  <si>
    <t>Eugene</t>
  </si>
  <si>
    <t>Kim</t>
  </si>
  <si>
    <t>Karl</t>
  </si>
  <si>
    <t>Jon</t>
  </si>
  <si>
    <t>Ron</t>
  </si>
  <si>
    <t>Jue</t>
  </si>
  <si>
    <t>Jamie</t>
  </si>
  <si>
    <t>Janee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</si>
</sst>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1" applyFont="1"/>
    <xf numFmtId="0" fontId="2" fillId="0" borderId="0" xfId="0" applyFont="1"/>
    <xf numFmtId="0" fontId="2" fillId="2" borderId="0" xfId="0" applyFont="1" applyFill="1"/>
    <xf numFmtId="165" fontId="2" fillId="0" borderId="0" xfId="1" applyFont="1"/>
    <xf numFmtId="164" fontId="0" fillId="0" borderId="0" xfId="1" applyNumberFormat="1" applyFont="1"/>
    <xf numFmtId="165" fontId="0" fillId="0" borderId="0" xfId="0" applyNumberFormat="1"/>
    <xf numFmtId="8" fontId="0" fillId="0" borderId="0" xfId="0" applyNumberFormat="1"/>
    <xf numFmtId="166" fontId="0" fillId="0" borderId="0" xfId="2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Prozent" xfId="2" builtinId="5"/>
    <cellStyle name="Standard" xfId="0" builtinId="0"/>
    <cellStyle name="Währung" xfId="1" builtinId="4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2.xml" /><Relationship Id="rId7" Type="http://schemas.openxmlformats.org/officeDocument/2006/relationships/styles" Target="styles.xml" /><Relationship Id="rId2" Type="http://schemas.openxmlformats.org/officeDocument/2006/relationships/chartsheet" Target="chartsheets/sheet1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4.xml" /><Relationship Id="rId10" Type="http://schemas.openxmlformats.org/officeDocument/2006/relationships/calcChain" Target="calcChain.xml" /><Relationship Id="rId4" Type="http://schemas.openxmlformats.org/officeDocument/2006/relationships/worksheet" Target="worksheets/sheet3.xml" /><Relationship Id="rId9" Type="http://schemas.openxmlformats.org/officeDocument/2006/relationships/sheetMetadata" Target="metadata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'Applicant Details'!$E$35:$E$37</c:f>
              <c:numCache>
                <c:formatCode>_("$"* #,##0.00_);_("$"* \(#,##0.00\);_("$"* "-"??_);_(@_)</c:formatCode>
                <c:ptCount val="3"/>
                <c:pt idx="0">
                  <c:v>80948769.275000006</c:v>
                </c:pt>
                <c:pt idx="1">
                  <c:v>132627435.55</c:v>
                </c:pt>
                <c:pt idx="2">
                  <c:v>127148997.77500001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1-4375-8D3A-07A7DAC202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5971824"/>
        <c:axId val="285972240"/>
      </c:barChart>
      <c:catAx>
        <c:axId val="285971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72240"/>
        <c:crosses val="autoZero"/>
        <c:auto val="1"/>
        <c:lblAlgn val="ctr"/>
        <c:lblOffset val="100"/>
        <c:noMultiLvlLbl val="0"/>
      </c:catAx>
      <c:valAx>
        <c:axId val="2859722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8597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12088F-6AFE-46CE-BDD7-C291473E43DB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7D0BF-E400-4B70-8510-ED6B9199E8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3BBBEF-4573-41A0-91FB-32156B772B91}" name="Table4" displayName="Table4" ref="A2:B5" totalsRowShown="0">
  <autoFilter ref="A2:B5" xr:uid="{833BBBEF-4573-41A0-91FB-32156B772B91}"/>
  <tableColumns count="2">
    <tableColumn id="1" xr3:uid="{B3083102-B842-455F-8A0C-22A40122C681}" name="Area"/>
    <tableColumn id="2" xr3:uid="{7B5B326C-1C90-42D5-A7AF-C8567A5550CF}" name="Cost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C1A5-F178-49F5-82A3-01B493A967EC}">
  <dimension ref="A1:B5"/>
  <sheetViews>
    <sheetView workbookViewId="0">
      <selection activeCell="B2" sqref="B2"/>
    </sheetView>
  </sheetViews>
  <sheetFormatPr defaultRowHeight="15" x14ac:dyDescent="0.2"/>
  <cols>
    <col min="2" max="2" width="30.66796875" customWidth="1"/>
  </cols>
  <sheetData>
    <row r="1" spans="1:2" x14ac:dyDescent="0.2">
      <c r="A1" s="10" t="s">
        <v>0</v>
      </c>
      <c r="B1" s="10"/>
    </row>
    <row r="2" spans="1:2" x14ac:dyDescent="0.2">
      <c r="A2" s="3" t="s">
        <v>1</v>
      </c>
      <c r="B2" s="3" t="s">
        <v>2</v>
      </c>
    </row>
    <row r="3" spans="1:2" x14ac:dyDescent="0.2">
      <c r="A3" s="2" t="s">
        <v>3</v>
      </c>
      <c r="B3" s="4">
        <v>350000</v>
      </c>
    </row>
    <row r="4" spans="1:2" x14ac:dyDescent="0.2">
      <c r="A4" s="2" t="s">
        <v>4</v>
      </c>
      <c r="B4" s="4">
        <v>300000</v>
      </c>
    </row>
    <row r="5" spans="1:2" x14ac:dyDescent="0.2">
      <c r="A5" s="2" t="s">
        <v>5</v>
      </c>
      <c r="B5" s="4">
        <v>250000</v>
      </c>
    </row>
  </sheetData>
  <mergeCells count="1">
    <mergeCell ref="A1:B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1435-9648-4DD6-AA88-AA38344EA0B6}">
  <sheetPr>
    <tabColor theme="5" tint="0.39997558519241921"/>
  </sheetPr>
  <dimension ref="A1:Q36"/>
  <sheetViews>
    <sheetView tabSelected="1" topLeftCell="E2" zoomScale="109" zoomScaleNormal="85" workbookViewId="0">
      <selection activeCell="F2" sqref="F2"/>
    </sheetView>
  </sheetViews>
  <sheetFormatPr defaultRowHeight="15" x14ac:dyDescent="0.2"/>
  <cols>
    <col min="1" max="1" width="10.625" bestFit="1" customWidth="1"/>
    <col min="2" max="2" width="11.703125" bestFit="1" customWidth="1"/>
    <col min="3" max="3" width="16.27734375" bestFit="1" customWidth="1"/>
    <col min="4" max="4" width="20.84765625" bestFit="1" customWidth="1"/>
    <col min="5" max="5" width="20.984375" bestFit="1" customWidth="1"/>
    <col min="6" max="6" width="15.33203125" customWidth="1"/>
    <col min="7" max="7" width="20.04296875" bestFit="1" customWidth="1"/>
    <col min="8" max="8" width="16.6796875" bestFit="1" customWidth="1"/>
    <col min="9" max="9" width="16.94921875" bestFit="1" customWidth="1"/>
    <col min="10" max="10" width="18.4296875" bestFit="1" customWidth="1"/>
    <col min="11" max="11" width="24.6171875" bestFit="1" customWidth="1"/>
    <col min="12" max="12" width="23.9453125" bestFit="1" customWidth="1"/>
    <col min="13" max="13" width="30.265625" bestFit="1" customWidth="1"/>
    <col min="14" max="14" width="18.96484375" bestFit="1" customWidth="1"/>
    <col min="15" max="15" width="20.3125" bestFit="1" customWidth="1"/>
    <col min="16" max="16" width="15.6015625" bestFit="1" customWidth="1"/>
  </cols>
  <sheetData>
    <row r="1" spans="1:17" x14ac:dyDescent="0.2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12</v>
      </c>
      <c r="G1" s="9" t="s">
        <v>11</v>
      </c>
      <c r="H1" s="9" t="s">
        <v>13</v>
      </c>
      <c r="I1" s="9" t="s">
        <v>0</v>
      </c>
      <c r="J1" s="9" t="s">
        <v>14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57</v>
      </c>
      <c r="P1" s="9" t="s">
        <v>55</v>
      </c>
      <c r="Q1" s="9" t="s">
        <v>56</v>
      </c>
    </row>
    <row r="2" spans="1:17" x14ac:dyDescent="0.2">
      <c r="A2" t="s">
        <v>20</v>
      </c>
      <c r="B2" t="s">
        <v>38</v>
      </c>
      <c r="C2" t="s">
        <v>3</v>
      </c>
      <c r="D2" s="1">
        <v>235562</v>
      </c>
      <c r="E2" s="1">
        <f t="shared" ref="E2:E30" si="0">(D2*0.025)</f>
        <v>5889.05</v>
      </c>
      <c r="F2" s="1">
        <f>IF(D2&gt;80000,D2*8%+10000,0)</f>
        <v>28844.959999999999</v>
      </c>
      <c r="G2" s="1">
        <f t="shared" ref="G2:G31" si="1">SUM(D2,E2)</f>
        <v>241451.05</v>
      </c>
      <c r="H2" s="1">
        <f t="shared" ref="H2:H31" si="2">SUM(G2,F2)</f>
        <v>270296.01</v>
      </c>
      <c r="I2" s="1">
        <f>VLOOKUP(C2,Table4[#All],2,1)</f>
        <v>350000</v>
      </c>
      <c r="J2" t="str">
        <f t="shared" ref="J2:J31" si="3">IF(D2&gt;I2,"Qualified","Not Qualified")</f>
        <v>Not Qualified</v>
      </c>
      <c r="K2" s="1">
        <v>3456</v>
      </c>
      <c r="L2" s="1">
        <f t="shared" ref="L2:L30" si="4">PMT(0.006,60,-K2,0,0)</f>
        <v>68.759521295852281</v>
      </c>
      <c r="M2" s="1">
        <v>547</v>
      </c>
      <c r="N2" s="1">
        <f t="shared" ref="N2:N30" si="5">PMT(0.004,18,-M2,0,0)</f>
        <v>31.556726915440425</v>
      </c>
      <c r="O2" s="1">
        <v>6000</v>
      </c>
      <c r="P2" s="6">
        <f t="shared" ref="P2:P30" si="6">SUM(K2:O2)</f>
        <v>10103.316248211293</v>
      </c>
      <c r="Q2" t="str">
        <f t="shared" ref="Q2:Q30" si="7">IF(P2&gt;(H2*0.5),"Approved", "Not Approved")</f>
        <v>Not Approved</v>
      </c>
    </row>
    <row r="3" spans="1:17" x14ac:dyDescent="0.2">
      <c r="A3" t="s">
        <v>23</v>
      </c>
      <c r="B3" t="s">
        <v>41</v>
      </c>
      <c r="C3" t="s">
        <v>3</v>
      </c>
      <c r="D3" s="1">
        <v>100000</v>
      </c>
      <c r="E3" s="1">
        <f t="shared" si="0"/>
        <v>2500</v>
      </c>
      <c r="F3" s="1">
        <v>100</v>
      </c>
      <c r="G3" s="1">
        <f t="shared" si="1"/>
        <v>102500</v>
      </c>
      <c r="H3" s="1">
        <f t="shared" si="2"/>
        <v>102600</v>
      </c>
      <c r="I3" s="1">
        <f>VLOOKUP(C3,Table4[#All],2,1)</f>
        <v>350000</v>
      </c>
      <c r="J3" t="str">
        <f t="shared" si="3"/>
        <v>Not Qualified</v>
      </c>
      <c r="K3" s="1">
        <v>45644</v>
      </c>
      <c r="L3" s="1">
        <f t="shared" si="4"/>
        <v>908.11909433677124</v>
      </c>
      <c r="M3" s="1">
        <v>34850</v>
      </c>
      <c r="N3" s="1">
        <f t="shared" si="5"/>
        <v>2010.5154168246779</v>
      </c>
      <c r="O3" s="1">
        <v>6000</v>
      </c>
      <c r="P3" s="6">
        <f t="shared" si="6"/>
        <v>89412.63451116145</v>
      </c>
      <c r="Q3" t="str">
        <f t="shared" si="7"/>
        <v>Approved</v>
      </c>
    </row>
    <row r="4" spans="1:17" x14ac:dyDescent="0.2">
      <c r="A4" t="s">
        <v>19</v>
      </c>
      <c r="B4" t="s">
        <v>37</v>
      </c>
      <c r="C4" t="s">
        <v>3</v>
      </c>
      <c r="D4" s="1">
        <v>24653636</v>
      </c>
      <c r="E4" s="1">
        <f t="shared" si="0"/>
        <v>616340.9</v>
      </c>
      <c r="F4" s="1">
        <v>100</v>
      </c>
      <c r="G4" s="1">
        <f t="shared" si="1"/>
        <v>25269976.899999999</v>
      </c>
      <c r="H4" s="1">
        <f t="shared" si="2"/>
        <v>25270076.899999999</v>
      </c>
      <c r="I4" s="1">
        <f>VLOOKUP(C4,Table4[#All],2,1)</f>
        <v>350000</v>
      </c>
      <c r="J4" t="str">
        <f t="shared" si="3"/>
        <v>Qualified</v>
      </c>
      <c r="K4" s="1">
        <v>345643</v>
      </c>
      <c r="L4" s="1">
        <f t="shared" si="4"/>
        <v>6876.807644462463</v>
      </c>
      <c r="M4" s="1">
        <v>3673</v>
      </c>
      <c r="N4" s="1">
        <f t="shared" si="5"/>
        <v>211.89736373018772</v>
      </c>
      <c r="O4" s="1">
        <v>6000</v>
      </c>
      <c r="P4" s="6">
        <f t="shared" si="6"/>
        <v>362404.70500819263</v>
      </c>
      <c r="Q4" t="str">
        <f t="shared" si="7"/>
        <v>Not Approved</v>
      </c>
    </row>
    <row r="5" spans="1:17" x14ac:dyDescent="0.2">
      <c r="A5" t="s">
        <v>16</v>
      </c>
      <c r="B5" t="s">
        <v>34</v>
      </c>
      <c r="C5" t="s">
        <v>3</v>
      </c>
      <c r="D5" s="1">
        <v>2235266</v>
      </c>
      <c r="E5" s="1">
        <f t="shared" si="0"/>
        <v>55881.65</v>
      </c>
      <c r="F5" s="1">
        <v>100</v>
      </c>
      <c r="G5" s="1">
        <f t="shared" si="1"/>
        <v>2291147.65</v>
      </c>
      <c r="H5" s="1">
        <f t="shared" si="2"/>
        <v>2291247.65</v>
      </c>
      <c r="I5" s="1">
        <f>VLOOKUP(C5,Table4[#All],2,1)</f>
        <v>350000</v>
      </c>
      <c r="J5" t="str">
        <f t="shared" si="3"/>
        <v>Qualified</v>
      </c>
      <c r="K5" s="1">
        <v>345734</v>
      </c>
      <c r="L5" s="1">
        <f t="shared" si="4"/>
        <v>6878.6181526910277</v>
      </c>
      <c r="M5" s="1">
        <v>3453</v>
      </c>
      <c r="N5" s="1">
        <f t="shared" si="5"/>
        <v>199.20544431264312</v>
      </c>
      <c r="O5" s="1">
        <v>6000</v>
      </c>
      <c r="P5" s="6">
        <f t="shared" si="6"/>
        <v>362264.82359700371</v>
      </c>
      <c r="Q5" t="str">
        <f t="shared" si="7"/>
        <v>Not Approved</v>
      </c>
    </row>
    <row r="6" spans="1:17" x14ac:dyDescent="0.2">
      <c r="A6" t="s">
        <v>71</v>
      </c>
      <c r="B6" t="s">
        <v>61</v>
      </c>
      <c r="C6" t="s">
        <v>3</v>
      </c>
      <c r="D6" s="1">
        <v>38042888</v>
      </c>
      <c r="E6" s="1">
        <f t="shared" si="0"/>
        <v>951072.20000000007</v>
      </c>
      <c r="F6" s="1">
        <v>100</v>
      </c>
      <c r="G6" s="1">
        <f t="shared" si="1"/>
        <v>38993960.200000003</v>
      </c>
      <c r="H6" s="1">
        <f t="shared" si="2"/>
        <v>38994060.200000003</v>
      </c>
      <c r="I6" s="1">
        <f>VLOOKUP(C6,Table4[#All],2,1)</f>
        <v>350000</v>
      </c>
      <c r="J6" t="str">
        <f t="shared" si="3"/>
        <v>Qualified</v>
      </c>
      <c r="K6" s="1">
        <v>381101</v>
      </c>
      <c r="L6" s="1">
        <f t="shared" si="4"/>
        <v>7582.2691913688077</v>
      </c>
      <c r="M6" s="1">
        <v>360</v>
      </c>
      <c r="N6" s="1">
        <f t="shared" si="5"/>
        <v>20.768595410527521</v>
      </c>
      <c r="O6" s="1">
        <v>6004</v>
      </c>
      <c r="P6" s="6">
        <f t="shared" si="6"/>
        <v>395068.03778677934</v>
      </c>
      <c r="Q6" t="str">
        <f t="shared" si="7"/>
        <v>Not Approved</v>
      </c>
    </row>
    <row r="7" spans="1:17" x14ac:dyDescent="0.2">
      <c r="A7" t="s">
        <v>74</v>
      </c>
      <c r="B7" t="s">
        <v>64</v>
      </c>
      <c r="C7" t="s">
        <v>3</v>
      </c>
      <c r="D7" s="1">
        <v>7911740</v>
      </c>
      <c r="E7" s="1">
        <f t="shared" si="0"/>
        <v>197793.5</v>
      </c>
      <c r="F7" s="1">
        <v>100</v>
      </c>
      <c r="G7" s="1">
        <f t="shared" si="1"/>
        <v>8109533.5</v>
      </c>
      <c r="H7" s="1">
        <f t="shared" si="2"/>
        <v>8109633.5</v>
      </c>
      <c r="I7" s="1">
        <f>VLOOKUP(C7,Table4[#All],2,1)</f>
        <v>350000</v>
      </c>
      <c r="J7" t="str">
        <f t="shared" si="3"/>
        <v>Qualified</v>
      </c>
      <c r="K7" s="1">
        <v>390404</v>
      </c>
      <c r="L7" s="1">
        <f t="shared" si="4"/>
        <v>7767.3588402737014</v>
      </c>
      <c r="M7" s="1">
        <v>363</v>
      </c>
      <c r="N7" s="1">
        <f t="shared" si="5"/>
        <v>20.94166703894858</v>
      </c>
      <c r="O7" s="1">
        <v>6007</v>
      </c>
      <c r="P7" s="6">
        <f t="shared" si="6"/>
        <v>404562.30050731264</v>
      </c>
      <c r="Q7" t="str">
        <f t="shared" si="7"/>
        <v>Not Approved</v>
      </c>
    </row>
    <row r="8" spans="1:17" x14ac:dyDescent="0.2">
      <c r="A8" t="s">
        <v>15</v>
      </c>
      <c r="B8" t="s">
        <v>33</v>
      </c>
      <c r="C8" t="s">
        <v>3</v>
      </c>
      <c r="D8" s="1">
        <v>100000</v>
      </c>
      <c r="E8" s="1">
        <f t="shared" si="0"/>
        <v>2500</v>
      </c>
      <c r="F8" s="1">
        <v>100</v>
      </c>
      <c r="G8" s="1">
        <f t="shared" si="1"/>
        <v>102500</v>
      </c>
      <c r="H8" s="1">
        <f t="shared" si="2"/>
        <v>102600</v>
      </c>
      <c r="I8" s="1">
        <f>VLOOKUP(C8,Table4[#All],2,1)</f>
        <v>350000</v>
      </c>
      <c r="J8" t="str">
        <f t="shared" si="3"/>
        <v>Not Qualified</v>
      </c>
      <c r="K8" s="1">
        <v>500000</v>
      </c>
      <c r="L8" s="1">
        <f t="shared" si="4"/>
        <v>9947.8474097008511</v>
      </c>
      <c r="M8" s="1">
        <v>23423</v>
      </c>
      <c r="N8" s="1">
        <f t="shared" si="5"/>
        <v>1351.2855841688502</v>
      </c>
      <c r="O8" s="1">
        <v>6000</v>
      </c>
      <c r="P8" s="6">
        <f t="shared" si="6"/>
        <v>540722.13299386972</v>
      </c>
      <c r="Q8" t="str">
        <f t="shared" si="7"/>
        <v>Approved</v>
      </c>
    </row>
    <row r="9" spans="1:17" x14ac:dyDescent="0.2">
      <c r="A9" t="s">
        <v>28</v>
      </c>
      <c r="B9" t="s">
        <v>46</v>
      </c>
      <c r="C9" t="s">
        <v>3</v>
      </c>
      <c r="D9" s="1">
        <v>3656846</v>
      </c>
      <c r="E9" s="1">
        <f t="shared" si="0"/>
        <v>91421.150000000009</v>
      </c>
      <c r="F9" s="1">
        <v>100</v>
      </c>
      <c r="G9" s="1">
        <f t="shared" si="1"/>
        <v>3748267.15</v>
      </c>
      <c r="H9" s="1">
        <f t="shared" si="2"/>
        <v>3748367.15</v>
      </c>
      <c r="I9" s="1">
        <f>VLOOKUP(C9,Table4[#All],2,1)</f>
        <v>350000</v>
      </c>
      <c r="J9" t="str">
        <f t="shared" si="3"/>
        <v>Qualified</v>
      </c>
      <c r="K9" s="1">
        <v>526000</v>
      </c>
      <c r="L9" s="1">
        <f t="shared" si="4"/>
        <v>10465.135475005294</v>
      </c>
      <c r="M9" s="1">
        <v>35673</v>
      </c>
      <c r="N9" s="1">
        <f t="shared" si="5"/>
        <v>2057.9947335548563</v>
      </c>
      <c r="O9" s="1">
        <v>6000</v>
      </c>
      <c r="P9" s="6">
        <f t="shared" si="6"/>
        <v>580196.13020856015</v>
      </c>
      <c r="Q9" t="str">
        <f t="shared" si="7"/>
        <v>Not Approved</v>
      </c>
    </row>
    <row r="10" spans="1:17" x14ac:dyDescent="0.2">
      <c r="A10" t="s">
        <v>31</v>
      </c>
      <c r="B10" t="s">
        <v>48</v>
      </c>
      <c r="C10" t="s">
        <v>3</v>
      </c>
      <c r="D10" s="1">
        <v>2037593</v>
      </c>
      <c r="E10" s="1">
        <f t="shared" si="0"/>
        <v>50939.825000000004</v>
      </c>
      <c r="F10" s="1">
        <v>100</v>
      </c>
      <c r="G10" s="1">
        <f t="shared" si="1"/>
        <v>2088532.825</v>
      </c>
      <c r="H10" s="1">
        <f t="shared" si="2"/>
        <v>2088632.825</v>
      </c>
      <c r="I10" s="1">
        <f>VLOOKUP(C10,Table4[#All],2,1)</f>
        <v>350000</v>
      </c>
      <c r="J10" t="str">
        <f t="shared" si="3"/>
        <v>Qualified</v>
      </c>
      <c r="K10" s="1">
        <v>532000</v>
      </c>
      <c r="L10" s="1">
        <f t="shared" si="4"/>
        <v>10584.509643921705</v>
      </c>
      <c r="M10" s="1">
        <v>3567</v>
      </c>
      <c r="N10" s="1">
        <f t="shared" si="5"/>
        <v>205.7821661926435</v>
      </c>
      <c r="O10" s="1">
        <v>6000</v>
      </c>
      <c r="P10" s="6">
        <f t="shared" si="6"/>
        <v>552357.2918101144</v>
      </c>
      <c r="Q10" t="str">
        <f t="shared" si="7"/>
        <v>Not Approved</v>
      </c>
    </row>
    <row r="11" spans="1:17" x14ac:dyDescent="0.2">
      <c r="A11" t="s">
        <v>27</v>
      </c>
      <c r="B11" t="s">
        <v>45</v>
      </c>
      <c r="C11" t="s">
        <v>4</v>
      </c>
      <c r="D11" s="1">
        <v>9090000</v>
      </c>
      <c r="E11" s="1">
        <f t="shared" si="0"/>
        <v>227250</v>
      </c>
      <c r="F11" s="1">
        <v>100</v>
      </c>
      <c r="G11" s="1">
        <f t="shared" si="1"/>
        <v>9317250</v>
      </c>
      <c r="H11" s="1">
        <f t="shared" si="2"/>
        <v>9317350</v>
      </c>
      <c r="I11" s="1">
        <f>VLOOKUP(C11,Table4[#All],2,1)</f>
        <v>300000</v>
      </c>
      <c r="J11" t="str">
        <f t="shared" si="3"/>
        <v>Qualified</v>
      </c>
      <c r="K11" s="1">
        <v>34564</v>
      </c>
      <c r="L11" s="1">
        <f t="shared" si="4"/>
        <v>687.67479573780042</v>
      </c>
      <c r="M11" s="1">
        <v>5467</v>
      </c>
      <c r="N11" s="1">
        <f t="shared" si="5"/>
        <v>315.3941975259832</v>
      </c>
      <c r="O11" s="1">
        <v>6000</v>
      </c>
      <c r="P11" s="6">
        <f t="shared" si="6"/>
        <v>47034.068993263783</v>
      </c>
      <c r="Q11" t="str">
        <f t="shared" si="7"/>
        <v>Not Approved</v>
      </c>
    </row>
    <row r="12" spans="1:17" x14ac:dyDescent="0.2">
      <c r="A12" t="s">
        <v>24</v>
      </c>
      <c r="B12" t="s">
        <v>42</v>
      </c>
      <c r="C12" t="s">
        <v>4</v>
      </c>
      <c r="D12" s="1">
        <v>29352935</v>
      </c>
      <c r="E12" s="1">
        <f t="shared" si="0"/>
        <v>733823.375</v>
      </c>
      <c r="F12" s="1">
        <v>100</v>
      </c>
      <c r="G12" s="1">
        <f t="shared" si="1"/>
        <v>30086758.375</v>
      </c>
      <c r="H12" s="1">
        <f t="shared" si="2"/>
        <v>30086858.375</v>
      </c>
      <c r="I12" s="1">
        <f>VLOOKUP(C12,Table4[#All],2,1)</f>
        <v>300000</v>
      </c>
      <c r="J12" t="str">
        <f t="shared" si="3"/>
        <v>Qualified</v>
      </c>
      <c r="K12" s="1">
        <v>345634</v>
      </c>
      <c r="L12" s="1">
        <f t="shared" si="4"/>
        <v>6876.628583209088</v>
      </c>
      <c r="M12" s="1">
        <v>5673</v>
      </c>
      <c r="N12" s="1">
        <f t="shared" si="5"/>
        <v>327.2784493442295</v>
      </c>
      <c r="O12" s="1">
        <v>6000</v>
      </c>
      <c r="P12" s="6">
        <f t="shared" si="6"/>
        <v>364510.90703255328</v>
      </c>
      <c r="Q12" t="str">
        <f t="shared" si="7"/>
        <v>Not Approved</v>
      </c>
    </row>
    <row r="13" spans="1:17" x14ac:dyDescent="0.2">
      <c r="A13" t="s">
        <v>69</v>
      </c>
      <c r="B13" t="s">
        <v>59</v>
      </c>
      <c r="C13" t="s">
        <v>4</v>
      </c>
      <c r="D13" s="1">
        <v>23640770</v>
      </c>
      <c r="E13" s="1">
        <f t="shared" si="0"/>
        <v>591019.25</v>
      </c>
      <c r="F13" s="1">
        <v>100</v>
      </c>
      <c r="G13" s="1">
        <f t="shared" si="1"/>
        <v>24231789.25</v>
      </c>
      <c r="H13" s="1">
        <f t="shared" si="2"/>
        <v>24231889.25</v>
      </c>
      <c r="I13" s="1">
        <f>VLOOKUP(C13,Table4[#All],2,1)</f>
        <v>300000</v>
      </c>
      <c r="J13" t="str">
        <f t="shared" si="3"/>
        <v>Qualified</v>
      </c>
      <c r="K13" s="1">
        <v>374899</v>
      </c>
      <c r="L13" s="1">
        <f t="shared" si="4"/>
        <v>7458.876092098878</v>
      </c>
      <c r="M13" s="1">
        <v>358</v>
      </c>
      <c r="N13" s="1">
        <f t="shared" si="5"/>
        <v>20.653214324913478</v>
      </c>
      <c r="O13" s="1">
        <v>6002</v>
      </c>
      <c r="P13" s="6">
        <f t="shared" si="6"/>
        <v>388738.52930642379</v>
      </c>
      <c r="Q13" t="str">
        <f t="shared" si="7"/>
        <v>Not Approved</v>
      </c>
    </row>
    <row r="14" spans="1:17" x14ac:dyDescent="0.2">
      <c r="A14" t="s">
        <v>70</v>
      </c>
      <c r="B14" t="s">
        <v>60</v>
      </c>
      <c r="C14" t="s">
        <v>4</v>
      </c>
      <c r="D14" s="1">
        <v>30841829</v>
      </c>
      <c r="E14" s="1">
        <f t="shared" si="0"/>
        <v>771045.72500000009</v>
      </c>
      <c r="F14" s="1">
        <v>100</v>
      </c>
      <c r="G14" s="1">
        <f t="shared" si="1"/>
        <v>31612874.725000001</v>
      </c>
      <c r="H14" s="1">
        <f t="shared" si="2"/>
        <v>31612974.725000001</v>
      </c>
      <c r="I14" s="1">
        <f>VLOOKUP(C14,Table4[#All],2,1)</f>
        <v>300000</v>
      </c>
      <c r="J14" t="str">
        <f t="shared" si="3"/>
        <v>Qualified</v>
      </c>
      <c r="K14" s="1">
        <v>378000</v>
      </c>
      <c r="L14" s="1">
        <f t="shared" si="4"/>
        <v>7520.5726417338437</v>
      </c>
      <c r="M14" s="1">
        <v>359</v>
      </c>
      <c r="N14" s="1">
        <f t="shared" si="5"/>
        <v>20.710904867720501</v>
      </c>
      <c r="O14" s="1">
        <v>6003</v>
      </c>
      <c r="P14" s="6">
        <f t="shared" si="6"/>
        <v>391903.2835466016</v>
      </c>
      <c r="Q14" t="str">
        <f t="shared" si="7"/>
        <v>Not Approved</v>
      </c>
    </row>
    <row r="15" spans="1:17" x14ac:dyDescent="0.2">
      <c r="A15" t="s">
        <v>75</v>
      </c>
      <c r="B15" t="s">
        <v>65</v>
      </c>
      <c r="C15" t="s">
        <v>4</v>
      </c>
      <c r="D15" s="1">
        <v>8335782</v>
      </c>
      <c r="E15" s="1">
        <f t="shared" si="0"/>
        <v>208394.55000000002</v>
      </c>
      <c r="F15" s="1">
        <v>100</v>
      </c>
      <c r="G15" s="1">
        <f t="shared" si="1"/>
        <v>8544176.5500000007</v>
      </c>
      <c r="H15" s="1">
        <f t="shared" si="2"/>
        <v>8544276.5500000007</v>
      </c>
      <c r="I15" s="1">
        <f>VLOOKUP(C15,Table4[#All],2,1)</f>
        <v>300000</v>
      </c>
      <c r="J15" t="str">
        <f t="shared" si="3"/>
        <v>Qualified</v>
      </c>
      <c r="K15" s="1">
        <v>393505</v>
      </c>
      <c r="L15" s="1">
        <f t="shared" si="4"/>
        <v>7829.0553899086663</v>
      </c>
      <c r="M15" s="1">
        <v>364</v>
      </c>
      <c r="N15" s="1">
        <f t="shared" si="5"/>
        <v>20.9993575817556</v>
      </c>
      <c r="O15" s="1">
        <v>6008</v>
      </c>
      <c r="P15" s="6">
        <f t="shared" si="6"/>
        <v>407727.05474749045</v>
      </c>
      <c r="Q15" t="str">
        <f t="shared" si="7"/>
        <v>Not Approved</v>
      </c>
    </row>
    <row r="16" spans="1:17" x14ac:dyDescent="0.2">
      <c r="A16" t="s">
        <v>77</v>
      </c>
      <c r="B16" t="s">
        <v>67</v>
      </c>
      <c r="C16" t="s">
        <v>4</v>
      </c>
      <c r="D16" s="1">
        <v>9183866</v>
      </c>
      <c r="E16" s="1">
        <f t="shared" si="0"/>
        <v>229596.65000000002</v>
      </c>
      <c r="F16" s="1">
        <v>100</v>
      </c>
      <c r="G16" s="1">
        <f t="shared" si="1"/>
        <v>9413462.6500000004</v>
      </c>
      <c r="H16" s="1">
        <f t="shared" si="2"/>
        <v>9413562.6500000004</v>
      </c>
      <c r="I16" s="1">
        <f>VLOOKUP(C16,Table4[#All],2,1)</f>
        <v>300000</v>
      </c>
      <c r="J16" t="str">
        <f t="shared" si="3"/>
        <v>Qualified</v>
      </c>
      <c r="K16" s="1">
        <v>399707</v>
      </c>
      <c r="L16" s="1">
        <f t="shared" si="4"/>
        <v>7952.4484891785951</v>
      </c>
      <c r="M16" s="1">
        <v>366</v>
      </c>
      <c r="N16" s="1">
        <f t="shared" si="5"/>
        <v>21.114738667369647</v>
      </c>
      <c r="O16" s="1">
        <v>6010</v>
      </c>
      <c r="P16" s="6">
        <f t="shared" si="6"/>
        <v>414056.563227846</v>
      </c>
      <c r="Q16" t="str">
        <f t="shared" si="7"/>
        <v>Not Approved</v>
      </c>
    </row>
    <row r="17" spans="1:17" x14ac:dyDescent="0.2">
      <c r="A17" t="s">
        <v>78</v>
      </c>
      <c r="B17" t="s">
        <v>68</v>
      </c>
      <c r="C17" t="s">
        <v>4</v>
      </c>
      <c r="D17" s="1">
        <v>9607908</v>
      </c>
      <c r="E17" s="1">
        <f t="shared" si="0"/>
        <v>240197.7</v>
      </c>
      <c r="F17" s="1">
        <v>100</v>
      </c>
      <c r="G17" s="1">
        <f t="shared" si="1"/>
        <v>9848105.6999999993</v>
      </c>
      <c r="H17" s="1">
        <f t="shared" si="2"/>
        <v>9848205.6999999993</v>
      </c>
      <c r="I17" s="1">
        <f>VLOOKUP(C17,Table4[#All],2,1)</f>
        <v>300000</v>
      </c>
      <c r="J17" t="str">
        <f t="shared" si="3"/>
        <v>Qualified</v>
      </c>
      <c r="K17" s="1">
        <v>402808</v>
      </c>
      <c r="L17" s="1">
        <f t="shared" si="4"/>
        <v>8014.1450388135609</v>
      </c>
      <c r="M17" s="1">
        <v>367</v>
      </c>
      <c r="N17" s="1">
        <f t="shared" si="5"/>
        <v>21.172429210176666</v>
      </c>
      <c r="O17" s="1">
        <v>6011</v>
      </c>
      <c r="P17" s="6">
        <f>SUM(K17:O17)</f>
        <v>417221.31746802374</v>
      </c>
      <c r="Q17" t="str">
        <f t="shared" si="7"/>
        <v>Not Approved</v>
      </c>
    </row>
    <row r="18" spans="1:17" x14ac:dyDescent="0.2">
      <c r="A18" t="s">
        <v>26</v>
      </c>
      <c r="B18" t="s">
        <v>44</v>
      </c>
      <c r="C18" t="s">
        <v>4</v>
      </c>
      <c r="D18" s="1">
        <v>100000</v>
      </c>
      <c r="E18" s="1">
        <f t="shared" si="0"/>
        <v>2500</v>
      </c>
      <c r="F18" s="1">
        <v>100</v>
      </c>
      <c r="G18" s="1">
        <f t="shared" si="1"/>
        <v>102500</v>
      </c>
      <c r="H18" s="1">
        <f t="shared" si="2"/>
        <v>102600</v>
      </c>
      <c r="I18" s="1">
        <f>VLOOKUP(C18,Table4[#All],2,1)</f>
        <v>300000</v>
      </c>
      <c r="J18" t="str">
        <f t="shared" si="3"/>
        <v>Not Qualified</v>
      </c>
      <c r="K18" s="1">
        <v>522000</v>
      </c>
      <c r="L18" s="1">
        <f t="shared" si="4"/>
        <v>10385.552695727689</v>
      </c>
      <c r="M18" s="1">
        <v>567</v>
      </c>
      <c r="N18" s="1">
        <f t="shared" si="5"/>
        <v>32.710537771580846</v>
      </c>
      <c r="O18" s="1">
        <v>6000</v>
      </c>
      <c r="P18" s="6">
        <f t="shared" si="6"/>
        <v>538985.26323349925</v>
      </c>
      <c r="Q18" t="str">
        <f t="shared" si="7"/>
        <v>Approved</v>
      </c>
    </row>
    <row r="19" spans="1:17" x14ac:dyDescent="0.2">
      <c r="A19" t="s">
        <v>32</v>
      </c>
      <c r="B19" t="s">
        <v>49</v>
      </c>
      <c r="C19" t="s">
        <v>4</v>
      </c>
      <c r="D19" s="1">
        <v>9238652</v>
      </c>
      <c r="E19" s="1">
        <f t="shared" si="0"/>
        <v>230966.30000000002</v>
      </c>
      <c r="F19" s="1">
        <v>100</v>
      </c>
      <c r="G19" s="1">
        <f t="shared" si="1"/>
        <v>9469618.3000000007</v>
      </c>
      <c r="H19" s="1">
        <f t="shared" si="2"/>
        <v>9469718.3000000007</v>
      </c>
      <c r="I19" s="1">
        <f>VLOOKUP(C19,Table4[#All],2,1)</f>
        <v>300000</v>
      </c>
      <c r="J19" t="str">
        <f t="shared" si="3"/>
        <v>Qualified</v>
      </c>
      <c r="K19" s="1">
        <v>534000</v>
      </c>
      <c r="L19" s="1">
        <f t="shared" si="4"/>
        <v>10624.301033560509</v>
      </c>
      <c r="M19" s="1">
        <v>356</v>
      </c>
      <c r="N19" s="1">
        <f t="shared" si="5"/>
        <v>20.537833239299434</v>
      </c>
      <c r="O19" s="1">
        <v>6000</v>
      </c>
      <c r="P19" s="6">
        <f t="shared" si="6"/>
        <v>551000.83886679984</v>
      </c>
      <c r="Q19" t="str">
        <f t="shared" si="7"/>
        <v>Not Approved</v>
      </c>
    </row>
    <row r="20" spans="1:17" x14ac:dyDescent="0.2">
      <c r="A20" t="s">
        <v>22</v>
      </c>
      <c r="B20" t="s">
        <v>40</v>
      </c>
      <c r="C20" t="s">
        <v>5</v>
      </c>
      <c r="D20" s="1">
        <v>22000000</v>
      </c>
      <c r="E20" s="1">
        <f t="shared" si="0"/>
        <v>550000</v>
      </c>
      <c r="F20" s="1">
        <v>100</v>
      </c>
      <c r="G20" s="1">
        <f t="shared" si="1"/>
        <v>22550000</v>
      </c>
      <c r="H20" s="1">
        <f t="shared" si="2"/>
        <v>22550100</v>
      </c>
      <c r="I20" s="1">
        <f>VLOOKUP(C20,Table4[#All],2,1)</f>
        <v>250000</v>
      </c>
      <c r="J20" t="str">
        <f t="shared" si="3"/>
        <v>Qualified</v>
      </c>
      <c r="K20" s="1">
        <v>34674</v>
      </c>
      <c r="L20" s="1">
        <f t="shared" si="4"/>
        <v>689.8633221679346</v>
      </c>
      <c r="M20" s="1">
        <v>45745</v>
      </c>
      <c r="N20" s="1">
        <f t="shared" si="5"/>
        <v>2639.0538807071703</v>
      </c>
      <c r="O20" s="1">
        <v>6000</v>
      </c>
      <c r="P20" s="6">
        <f t="shared" si="6"/>
        <v>89747.917202875105</v>
      </c>
      <c r="Q20" t="str">
        <f t="shared" si="7"/>
        <v>Not Approved</v>
      </c>
    </row>
    <row r="21" spans="1:17" x14ac:dyDescent="0.2">
      <c r="A21" t="s">
        <v>29</v>
      </c>
      <c r="B21" t="s">
        <v>47</v>
      </c>
      <c r="C21" t="s">
        <v>5</v>
      </c>
      <c r="D21" s="1">
        <v>100000</v>
      </c>
      <c r="E21" s="1">
        <f t="shared" si="0"/>
        <v>2500</v>
      </c>
      <c r="F21" s="1">
        <v>100</v>
      </c>
      <c r="G21" s="1">
        <f t="shared" si="1"/>
        <v>102500</v>
      </c>
      <c r="H21" s="1">
        <f t="shared" si="2"/>
        <v>102600</v>
      </c>
      <c r="I21" s="1">
        <f>VLOOKUP(C21,Table4[#All],2,1)</f>
        <v>250000</v>
      </c>
      <c r="J21" t="str">
        <f t="shared" si="3"/>
        <v>Not Qualified</v>
      </c>
      <c r="K21" s="1">
        <v>345645</v>
      </c>
      <c r="L21" s="1">
        <f t="shared" si="4"/>
        <v>6876.8474358521007</v>
      </c>
      <c r="M21" s="1">
        <v>567</v>
      </c>
      <c r="N21" s="1">
        <f t="shared" si="5"/>
        <v>32.710537771580846</v>
      </c>
      <c r="O21" s="1">
        <v>6000</v>
      </c>
      <c r="P21" s="6">
        <f t="shared" si="6"/>
        <v>359121.55797362368</v>
      </c>
      <c r="Q21" t="str">
        <f t="shared" si="7"/>
        <v>Approved</v>
      </c>
    </row>
    <row r="22" spans="1:17" x14ac:dyDescent="0.2">
      <c r="A22" t="s">
        <v>25</v>
      </c>
      <c r="B22" t="s">
        <v>43</v>
      </c>
      <c r="C22" t="s">
        <v>5</v>
      </c>
      <c r="D22" s="1">
        <v>100000</v>
      </c>
      <c r="E22" s="1">
        <f t="shared" si="0"/>
        <v>2500</v>
      </c>
      <c r="F22" s="1">
        <v>100</v>
      </c>
      <c r="G22" s="1">
        <f t="shared" si="1"/>
        <v>102500</v>
      </c>
      <c r="H22" s="1">
        <f t="shared" si="2"/>
        <v>102600</v>
      </c>
      <c r="I22" s="1">
        <f>VLOOKUP(C22,Table4[#All],2,1)</f>
        <v>250000</v>
      </c>
      <c r="J22" t="str">
        <f t="shared" si="3"/>
        <v>Not Qualified</v>
      </c>
      <c r="K22" s="1">
        <v>345646</v>
      </c>
      <c r="L22" s="1">
        <f t="shared" si="4"/>
        <v>6876.8673315469205</v>
      </c>
      <c r="M22" s="1">
        <v>3567</v>
      </c>
      <c r="N22" s="1">
        <f t="shared" si="5"/>
        <v>205.7821661926435</v>
      </c>
      <c r="O22" s="1">
        <v>6000</v>
      </c>
      <c r="P22" s="6">
        <f t="shared" si="6"/>
        <v>362295.64949773956</v>
      </c>
      <c r="Q22" t="str">
        <f t="shared" si="7"/>
        <v>Approved</v>
      </c>
    </row>
    <row r="23" spans="1:17" x14ac:dyDescent="0.2">
      <c r="A23" t="s">
        <v>72</v>
      </c>
      <c r="B23" t="s">
        <v>62</v>
      </c>
      <c r="C23" t="s">
        <v>5</v>
      </c>
      <c r="D23" s="1">
        <v>7063656</v>
      </c>
      <c r="E23" s="1">
        <f t="shared" si="0"/>
        <v>176591.40000000002</v>
      </c>
      <c r="F23" s="1">
        <v>100</v>
      </c>
      <c r="G23" s="1">
        <f t="shared" si="1"/>
        <v>7240247.4000000004</v>
      </c>
      <c r="H23" s="1">
        <f t="shared" si="2"/>
        <v>7240347.4000000004</v>
      </c>
      <c r="I23" s="1">
        <f>VLOOKUP(C23,Table4[#All],2,1)</f>
        <v>250000</v>
      </c>
      <c r="J23" t="str">
        <f t="shared" si="3"/>
        <v>Qualified</v>
      </c>
      <c r="K23" s="1">
        <v>384202</v>
      </c>
      <c r="L23" s="1">
        <f t="shared" si="4"/>
        <v>7643.9657410037726</v>
      </c>
      <c r="M23" s="1">
        <v>361</v>
      </c>
      <c r="N23" s="1">
        <f t="shared" si="5"/>
        <v>20.826285953334541</v>
      </c>
      <c r="O23" s="1">
        <v>6005</v>
      </c>
      <c r="P23" s="6">
        <f t="shared" si="6"/>
        <v>398232.79202695709</v>
      </c>
      <c r="Q23" t="str">
        <f t="shared" si="7"/>
        <v>Not Approved</v>
      </c>
    </row>
    <row r="24" spans="1:17" x14ac:dyDescent="0.2">
      <c r="A24" t="s">
        <v>73</v>
      </c>
      <c r="B24" t="s">
        <v>63</v>
      </c>
      <c r="C24" t="s">
        <v>5</v>
      </c>
      <c r="D24" s="1">
        <v>7487698</v>
      </c>
      <c r="E24" s="1">
        <f t="shared" si="0"/>
        <v>187192.45</v>
      </c>
      <c r="F24" s="1">
        <v>100</v>
      </c>
      <c r="G24" s="1">
        <f t="shared" si="1"/>
        <v>7674890.4500000002</v>
      </c>
      <c r="H24" s="1">
        <f t="shared" si="2"/>
        <v>7674990.4500000002</v>
      </c>
      <c r="I24" s="1">
        <f>VLOOKUP(C24,Table4[#All],2,1)</f>
        <v>250000</v>
      </c>
      <c r="J24" t="str">
        <f t="shared" si="3"/>
        <v>Qualified</v>
      </c>
      <c r="K24" s="1">
        <v>387303</v>
      </c>
      <c r="L24" s="1">
        <f t="shared" si="4"/>
        <v>7705.6622906387374</v>
      </c>
      <c r="M24" s="1">
        <v>362</v>
      </c>
      <c r="N24" s="1">
        <f t="shared" si="5"/>
        <v>20.88397649614156</v>
      </c>
      <c r="O24" s="1">
        <v>6006</v>
      </c>
      <c r="P24" s="6">
        <f t="shared" si="6"/>
        <v>401397.54626713484</v>
      </c>
      <c r="Q24" t="str">
        <f t="shared" si="7"/>
        <v>Not Approved</v>
      </c>
    </row>
    <row r="25" spans="1:17" x14ac:dyDescent="0.2">
      <c r="A25" t="s">
        <v>76</v>
      </c>
      <c r="B25" t="s">
        <v>66</v>
      </c>
      <c r="C25" t="s">
        <v>5</v>
      </c>
      <c r="D25" s="1">
        <v>8759824</v>
      </c>
      <c r="E25" s="1">
        <f t="shared" si="0"/>
        <v>218995.6</v>
      </c>
      <c r="F25" s="1">
        <v>100</v>
      </c>
      <c r="G25" s="1">
        <f t="shared" si="1"/>
        <v>8978819.5999999996</v>
      </c>
      <c r="H25" s="1">
        <f t="shared" si="2"/>
        <v>8978919.5999999996</v>
      </c>
      <c r="I25" s="1">
        <f>VLOOKUP(C25,Table4[#All],2,1)</f>
        <v>250000</v>
      </c>
      <c r="J25" t="str">
        <f t="shared" si="3"/>
        <v>Qualified</v>
      </c>
      <c r="K25" s="1">
        <v>396606</v>
      </c>
      <c r="L25" s="1">
        <f t="shared" si="4"/>
        <v>7890.7519395436311</v>
      </c>
      <c r="M25" s="1">
        <v>365</v>
      </c>
      <c r="N25" s="1">
        <f t="shared" si="5"/>
        <v>21.057048124562627</v>
      </c>
      <c r="O25" s="1">
        <v>6009</v>
      </c>
      <c r="P25" s="6">
        <f t="shared" si="6"/>
        <v>410891.80898766819</v>
      </c>
      <c r="Q25" t="str">
        <f t="shared" si="7"/>
        <v>Not Approved</v>
      </c>
    </row>
    <row r="26" spans="1:17" x14ac:dyDescent="0.2">
      <c r="A26" t="s">
        <v>18</v>
      </c>
      <c r="B26" t="s">
        <v>36</v>
      </c>
      <c r="C26" t="s">
        <v>5</v>
      </c>
      <c r="D26" s="1">
        <v>24624363</v>
      </c>
      <c r="E26" s="1">
        <f t="shared" si="0"/>
        <v>615609.07500000007</v>
      </c>
      <c r="F26" s="1">
        <v>100</v>
      </c>
      <c r="G26" s="1">
        <f t="shared" si="1"/>
        <v>25239972.074999999</v>
      </c>
      <c r="H26" s="1">
        <f t="shared" si="2"/>
        <v>25240072.074999999</v>
      </c>
      <c r="I26" s="1">
        <f>VLOOKUP(C26,Table4[#All],2,1)</f>
        <v>250000</v>
      </c>
      <c r="J26" t="str">
        <f t="shared" si="3"/>
        <v>Qualified</v>
      </c>
      <c r="K26" s="1">
        <v>435734</v>
      </c>
      <c r="L26" s="1">
        <f t="shared" si="4"/>
        <v>8669.2306864371803</v>
      </c>
      <c r="M26" s="1">
        <v>34534</v>
      </c>
      <c r="N26" s="1">
        <f t="shared" si="5"/>
        <v>1992.2852052976593</v>
      </c>
      <c r="O26" s="1">
        <v>6000</v>
      </c>
      <c r="P26" s="6">
        <f t="shared" si="6"/>
        <v>486929.5158917348</v>
      </c>
      <c r="Q26" t="str">
        <f t="shared" si="7"/>
        <v>Not Approved</v>
      </c>
    </row>
    <row r="27" spans="1:17" x14ac:dyDescent="0.2">
      <c r="A27" t="s">
        <v>17</v>
      </c>
      <c r="B27" t="s">
        <v>35</v>
      </c>
      <c r="C27" t="s">
        <v>5</v>
      </c>
      <c r="D27" s="1">
        <v>23523624</v>
      </c>
      <c r="E27" s="1">
        <f t="shared" si="0"/>
        <v>588090.6</v>
      </c>
      <c r="F27" s="1">
        <v>100</v>
      </c>
      <c r="G27" s="1">
        <f t="shared" si="1"/>
        <v>24111714.600000001</v>
      </c>
      <c r="H27" s="1">
        <f t="shared" si="2"/>
        <v>24111814.600000001</v>
      </c>
      <c r="I27" s="1">
        <f>VLOOKUP(C27,Table4[#All],2,1)</f>
        <v>250000</v>
      </c>
      <c r="J27" t="str">
        <f t="shared" si="3"/>
        <v>Qualified</v>
      </c>
      <c r="K27" s="1">
        <v>504000</v>
      </c>
      <c r="L27" s="1">
        <f t="shared" si="4"/>
        <v>10027.430188978456</v>
      </c>
      <c r="M27" s="1">
        <v>657</v>
      </c>
      <c r="N27" s="1">
        <f t="shared" si="5"/>
        <v>37.90268662421272</v>
      </c>
      <c r="O27" s="1">
        <v>6000</v>
      </c>
      <c r="P27" s="6">
        <f t="shared" si="6"/>
        <v>520722.33287560265</v>
      </c>
      <c r="Q27" t="str">
        <f t="shared" si="7"/>
        <v>Not Approved</v>
      </c>
    </row>
    <row r="28" spans="1:17" x14ac:dyDescent="0.2">
      <c r="A28" t="s">
        <v>21</v>
      </c>
      <c r="B28" t="s">
        <v>39</v>
      </c>
      <c r="C28" t="s">
        <v>5</v>
      </c>
      <c r="D28" s="1">
        <v>100000</v>
      </c>
      <c r="E28" s="1">
        <f t="shared" si="0"/>
        <v>2500</v>
      </c>
      <c r="F28" s="1">
        <v>100</v>
      </c>
      <c r="G28" s="1">
        <f t="shared" si="1"/>
        <v>102500</v>
      </c>
      <c r="H28" s="1">
        <f t="shared" si="2"/>
        <v>102600</v>
      </c>
      <c r="I28" s="1">
        <f>VLOOKUP(C28,Table4[#All],2,1)</f>
        <v>250000</v>
      </c>
      <c r="J28" t="str">
        <f t="shared" si="3"/>
        <v>Not Qualified</v>
      </c>
      <c r="K28" s="1">
        <v>512000</v>
      </c>
      <c r="L28" s="1">
        <f t="shared" si="4"/>
        <v>10186.595747533671</v>
      </c>
      <c r="M28" s="1">
        <v>45645</v>
      </c>
      <c r="N28" s="1">
        <f t="shared" si="5"/>
        <v>2633.2848264264685</v>
      </c>
      <c r="O28" s="1">
        <v>6000</v>
      </c>
      <c r="P28" s="6">
        <f t="shared" si="6"/>
        <v>576464.88057396014</v>
      </c>
      <c r="Q28" t="str">
        <f t="shared" si="7"/>
        <v>Approved</v>
      </c>
    </row>
    <row r="29" spans="1:17" x14ac:dyDescent="0.2">
      <c r="A29" t="s">
        <v>30</v>
      </c>
      <c r="B29" t="s">
        <v>48</v>
      </c>
      <c r="C29" t="s">
        <v>5</v>
      </c>
      <c r="D29" s="1">
        <v>4239846</v>
      </c>
      <c r="E29" s="1">
        <f t="shared" si="0"/>
        <v>105996.15000000001</v>
      </c>
      <c r="F29" s="1">
        <v>100</v>
      </c>
      <c r="G29" s="1">
        <f t="shared" si="1"/>
        <v>4345842.1500000004</v>
      </c>
      <c r="H29" s="1">
        <f t="shared" si="2"/>
        <v>4345942.1500000004</v>
      </c>
      <c r="I29" s="1">
        <f>VLOOKUP(C29,Table4[#All],2,1)</f>
        <v>250000</v>
      </c>
      <c r="J29" t="str">
        <f t="shared" si="3"/>
        <v>Qualified</v>
      </c>
      <c r="K29" s="1">
        <v>530000</v>
      </c>
      <c r="L29" s="1">
        <f t="shared" si="4"/>
        <v>10544.718254282901</v>
      </c>
      <c r="M29" s="1">
        <v>3567</v>
      </c>
      <c r="N29" s="1">
        <f t="shared" si="5"/>
        <v>205.7821661926435</v>
      </c>
      <c r="O29" s="1">
        <v>6000</v>
      </c>
      <c r="P29" s="6">
        <f t="shared" si="6"/>
        <v>550317.50042047561</v>
      </c>
      <c r="Q29" t="str">
        <f t="shared" si="7"/>
        <v>Not Approved</v>
      </c>
    </row>
    <row r="30" spans="1:17" x14ac:dyDescent="0.2">
      <c r="A30" t="s">
        <v>19</v>
      </c>
      <c r="B30" t="s">
        <v>58</v>
      </c>
      <c r="C30" t="s">
        <v>5</v>
      </c>
      <c r="D30" s="1">
        <v>16439711</v>
      </c>
      <c r="E30" s="1">
        <f t="shared" si="0"/>
        <v>410992.77500000002</v>
      </c>
      <c r="F30" s="1">
        <v>100</v>
      </c>
      <c r="G30" s="1">
        <f t="shared" si="1"/>
        <v>16850703.774999999</v>
      </c>
      <c r="H30" s="1">
        <f t="shared" si="2"/>
        <v>16850803.774999999</v>
      </c>
      <c r="I30" s="1">
        <f>VLOOKUP(C30,Table4[#All],2,1)</f>
        <v>250000</v>
      </c>
      <c r="J30" t="str">
        <f t="shared" si="3"/>
        <v>Qualified</v>
      </c>
      <c r="K30" s="1">
        <v>534001</v>
      </c>
      <c r="L30" s="1">
        <f t="shared" si="4"/>
        <v>10624.320929255329</v>
      </c>
      <c r="M30" s="1">
        <v>357</v>
      </c>
      <c r="N30" s="1">
        <f t="shared" si="5"/>
        <v>20.595523782106454</v>
      </c>
      <c r="O30" s="1">
        <v>6001</v>
      </c>
      <c r="P30" s="6">
        <f t="shared" si="6"/>
        <v>551003.91645303741</v>
      </c>
      <c r="Q30" t="str">
        <f t="shared" si="7"/>
        <v>Not Approved</v>
      </c>
    </row>
    <row r="31" spans="1:17" x14ac:dyDescent="0.2">
      <c r="A31" t="s">
        <v>79</v>
      </c>
      <c r="B31" t="s">
        <v>80</v>
      </c>
      <c r="C31" t="s">
        <v>5</v>
      </c>
      <c r="D31" s="1">
        <v>9607909</v>
      </c>
      <c r="E31" s="1">
        <f t="shared" ref="E31" si="8">(D31*0.025)</f>
        <v>240197.72500000001</v>
      </c>
      <c r="F31" s="1">
        <v>101</v>
      </c>
      <c r="G31" s="1">
        <f t="shared" si="1"/>
        <v>9848106.7249999996</v>
      </c>
      <c r="H31" s="1">
        <f t="shared" si="2"/>
        <v>9848207.7249999996</v>
      </c>
      <c r="I31" s="1">
        <f>VLOOKUP(C31,Table4[#All],2,1)</f>
        <v>250000</v>
      </c>
      <c r="J31" t="str">
        <f t="shared" si="3"/>
        <v>Qualified</v>
      </c>
      <c r="K31" s="1">
        <v>402809</v>
      </c>
      <c r="L31" s="1">
        <f t="shared" ref="L31" si="9">PMT(0.006,60,-K31,0,0)</f>
        <v>8014.1649345083806</v>
      </c>
      <c r="M31" s="1">
        <v>368</v>
      </c>
      <c r="N31" s="1">
        <f t="shared" ref="N31" si="10">PMT(0.004,18,-M31,0,0)</f>
        <v>21.230119752983686</v>
      </c>
      <c r="O31" s="1">
        <v>6012</v>
      </c>
      <c r="P31" s="6">
        <f t="shared" ref="P31" si="11">SUM(K31:O31)</f>
        <v>417224.39505426137</v>
      </c>
      <c r="Q31" t="str">
        <f t="shared" ref="Q31" si="12">IF(P31&gt;(H31*0.5),"Approved", "Not Approved")</f>
        <v>Not Approved</v>
      </c>
    </row>
    <row r="34" spans="3:15" x14ac:dyDescent="0.2">
      <c r="D34" t="s">
        <v>3</v>
      </c>
      <c r="E34" s="6">
        <f>SUM(H2:H10)</f>
        <v>80977514.235000014</v>
      </c>
    </row>
    <row r="35" spans="3:15" x14ac:dyDescent="0.2">
      <c r="C35" s="1"/>
      <c r="D35" s="1" t="s">
        <v>4</v>
      </c>
      <c r="E35" s="6">
        <f>SUM(H11:H19)</f>
        <v>132627435.55</v>
      </c>
      <c r="F35" s="1"/>
      <c r="G35" s="1"/>
      <c r="H35" s="1"/>
      <c r="J35" s="1"/>
      <c r="K35" s="1"/>
      <c r="L35" s="1"/>
      <c r="M35" s="5"/>
      <c r="N35" s="1"/>
      <c r="O35" s="6"/>
    </row>
    <row r="36" spans="3:15" x14ac:dyDescent="0.2">
      <c r="D36" t="s">
        <v>5</v>
      </c>
      <c r="E36" s="6">
        <f>SUM(H20:H31)</f>
        <v>127148997.77500001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702-75D0-4355-996D-B065B98CBA74}">
  <sheetPr>
    <tabColor theme="5" tint="0.39997558519241921"/>
  </sheetPr>
  <dimension ref="A1:Q37"/>
  <sheetViews>
    <sheetView topLeftCell="A20" zoomScale="109" zoomScaleNormal="85" workbookViewId="0">
      <selection activeCell="D42" sqref="D42"/>
    </sheetView>
  </sheetViews>
  <sheetFormatPr defaultRowHeight="15" x14ac:dyDescent="0.2"/>
  <cols>
    <col min="1" max="1" width="10.625" bestFit="1" customWidth="1"/>
    <col min="2" max="2" width="11.703125" bestFit="1" customWidth="1"/>
    <col min="3" max="3" width="16.27734375" bestFit="1" customWidth="1"/>
    <col min="4" max="4" width="20.84765625" bestFit="1" customWidth="1"/>
    <col min="5" max="5" width="20.984375" bestFit="1" customWidth="1"/>
    <col min="6" max="6" width="15.33203125" customWidth="1"/>
    <col min="7" max="7" width="20.04296875" bestFit="1" customWidth="1"/>
    <col min="8" max="8" width="16.6796875" bestFit="1" customWidth="1"/>
    <col min="9" max="9" width="16.94921875" bestFit="1" customWidth="1"/>
    <col min="10" max="10" width="18.4296875" bestFit="1" customWidth="1"/>
    <col min="11" max="11" width="24.6171875" bestFit="1" customWidth="1"/>
    <col min="12" max="12" width="23.9453125" bestFit="1" customWidth="1"/>
    <col min="13" max="13" width="30.265625" bestFit="1" customWidth="1"/>
    <col min="14" max="14" width="18.96484375" bestFit="1" customWidth="1"/>
    <col min="15" max="15" width="20.3125" bestFit="1" customWidth="1"/>
    <col min="16" max="16" width="15.6015625" bestFit="1" customWidth="1"/>
  </cols>
  <sheetData>
    <row r="1" spans="1:17" ht="29.25" customHeight="1" x14ac:dyDescent="0.2"/>
    <row r="2" spans="1:17" x14ac:dyDescent="0.2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12</v>
      </c>
      <c r="G2" s="9" t="s">
        <v>11</v>
      </c>
      <c r="H2" s="9" t="s">
        <v>13</v>
      </c>
      <c r="I2" s="9" t="s">
        <v>0</v>
      </c>
      <c r="J2" s="9" t="s">
        <v>14</v>
      </c>
      <c r="K2" s="9" t="s">
        <v>50</v>
      </c>
      <c r="L2" s="9" t="s">
        <v>51</v>
      </c>
      <c r="M2" s="9" t="s">
        <v>52</v>
      </c>
      <c r="N2" s="9" t="s">
        <v>53</v>
      </c>
      <c r="O2" s="9" t="s">
        <v>57</v>
      </c>
      <c r="P2" s="9" t="s">
        <v>55</v>
      </c>
      <c r="Q2" s="9" t="s">
        <v>56</v>
      </c>
    </row>
    <row r="3" spans="1:17" x14ac:dyDescent="0.2">
      <c r="A3" t="s">
        <v>20</v>
      </c>
      <c r="B3" t="s">
        <v>38</v>
      </c>
      <c r="C3" t="s">
        <v>3</v>
      </c>
      <c r="D3" s="1">
        <v>235562</v>
      </c>
      <c r="E3" s="1">
        <f t="shared" ref="E3:E31" si="0">(D3*0.025)</f>
        <v>5889.05</v>
      </c>
      <c r="F3" s="1">
        <v>100</v>
      </c>
      <c r="G3" s="1">
        <f t="shared" ref="G3:G32" si="1">SUM(D3,E3)</f>
        <v>241451.05</v>
      </c>
      <c r="H3" s="1">
        <f t="shared" ref="H3:H32" si="2">SUM(G3,F3)</f>
        <v>241551.05</v>
      </c>
      <c r="I3" s="1">
        <f>VLOOKUP(C3,Table4[#All],2,1)</f>
        <v>350000</v>
      </c>
      <c r="J3" t="str">
        <f t="shared" ref="J3:J32" si="3">IF(D3&gt;I3,"Qualified","Not Qualified")</f>
        <v>Not Qualified</v>
      </c>
      <c r="K3" s="1">
        <v>3456</v>
      </c>
      <c r="L3" s="1">
        <f t="shared" ref="L3:L31" si="4">PMT(0.006,60,-K3,0,0)</f>
        <v>68.759521295852281</v>
      </c>
      <c r="M3" s="1">
        <v>547</v>
      </c>
      <c r="N3" s="1">
        <f t="shared" ref="N3:N31" si="5">PMT(0.004,18,-M3,0,0)</f>
        <v>31.556726915440425</v>
      </c>
      <c r="O3" s="1">
        <v>6000</v>
      </c>
      <c r="P3" s="6">
        <f t="shared" ref="P3:P31" si="6">SUM(K3:O3)</f>
        <v>10103.316248211293</v>
      </c>
      <c r="Q3" t="str">
        <f t="shared" ref="Q3:Q31" si="7">IF(P3&gt;(H3*0.5),"Approved", "Not Approved")</f>
        <v>Not Approved</v>
      </c>
    </row>
    <row r="4" spans="1:17" x14ac:dyDescent="0.2">
      <c r="A4" t="s">
        <v>23</v>
      </c>
      <c r="B4" t="s">
        <v>41</v>
      </c>
      <c r="C4" t="s">
        <v>3</v>
      </c>
      <c r="D4" s="1">
        <v>100000</v>
      </c>
      <c r="E4" s="1">
        <f t="shared" si="0"/>
        <v>2500</v>
      </c>
      <c r="F4" s="1">
        <v>100</v>
      </c>
      <c r="G4" s="1">
        <f t="shared" si="1"/>
        <v>102500</v>
      </c>
      <c r="H4" s="1">
        <f t="shared" si="2"/>
        <v>102600</v>
      </c>
      <c r="I4" s="1">
        <f>VLOOKUP(C4,Table4[#All],2,1)</f>
        <v>350000</v>
      </c>
      <c r="J4" t="str">
        <f t="shared" si="3"/>
        <v>Not Qualified</v>
      </c>
      <c r="K4" s="1">
        <v>45644</v>
      </c>
      <c r="L4" s="1">
        <f t="shared" si="4"/>
        <v>908.11909433677124</v>
      </c>
      <c r="M4" s="1">
        <v>34850</v>
      </c>
      <c r="N4" s="1">
        <f t="shared" si="5"/>
        <v>2010.5154168246779</v>
      </c>
      <c r="O4" s="1">
        <v>6000</v>
      </c>
      <c r="P4" s="6">
        <f t="shared" si="6"/>
        <v>89412.63451116145</v>
      </c>
      <c r="Q4" t="str">
        <f t="shared" si="7"/>
        <v>Approved</v>
      </c>
    </row>
    <row r="5" spans="1:17" x14ac:dyDescent="0.2">
      <c r="A5" t="s">
        <v>19</v>
      </c>
      <c r="B5" t="s">
        <v>37</v>
      </c>
      <c r="C5" t="s">
        <v>3</v>
      </c>
      <c r="D5" s="1">
        <v>24653636</v>
      </c>
      <c r="E5" s="1">
        <f t="shared" si="0"/>
        <v>616340.9</v>
      </c>
      <c r="F5" s="1">
        <v>100</v>
      </c>
      <c r="G5" s="1">
        <f t="shared" si="1"/>
        <v>25269976.899999999</v>
      </c>
      <c r="H5" s="1">
        <f t="shared" si="2"/>
        <v>25270076.899999999</v>
      </c>
      <c r="I5" s="1">
        <f>VLOOKUP(C5,Table4[#All],2,1)</f>
        <v>350000</v>
      </c>
      <c r="J5" t="str">
        <f t="shared" si="3"/>
        <v>Qualified</v>
      </c>
      <c r="K5" s="1">
        <v>345643</v>
      </c>
      <c r="L5" s="1">
        <f t="shared" si="4"/>
        <v>6876.807644462463</v>
      </c>
      <c r="M5" s="1">
        <v>3673</v>
      </c>
      <c r="N5" s="1">
        <f t="shared" si="5"/>
        <v>211.89736373018772</v>
      </c>
      <c r="O5" s="1">
        <v>6000</v>
      </c>
      <c r="P5" s="6">
        <f t="shared" si="6"/>
        <v>362404.70500819263</v>
      </c>
      <c r="Q5" t="str">
        <f t="shared" si="7"/>
        <v>Not Approved</v>
      </c>
    </row>
    <row r="6" spans="1:17" x14ac:dyDescent="0.2">
      <c r="A6" t="s">
        <v>16</v>
      </c>
      <c r="B6" t="s">
        <v>34</v>
      </c>
      <c r="C6" t="s">
        <v>3</v>
      </c>
      <c r="D6" s="1">
        <v>2235266</v>
      </c>
      <c r="E6" s="1">
        <f t="shared" si="0"/>
        <v>55881.65</v>
      </c>
      <c r="F6" s="1">
        <v>100</v>
      </c>
      <c r="G6" s="1">
        <f t="shared" si="1"/>
        <v>2291147.65</v>
      </c>
      <c r="H6" s="1">
        <f t="shared" si="2"/>
        <v>2291247.65</v>
      </c>
      <c r="I6" s="1">
        <f>VLOOKUP(C6,Table4[#All],2,1)</f>
        <v>350000</v>
      </c>
      <c r="J6" t="str">
        <f t="shared" si="3"/>
        <v>Qualified</v>
      </c>
      <c r="K6" s="1">
        <v>345734</v>
      </c>
      <c r="L6" s="1">
        <f t="shared" si="4"/>
        <v>6878.6181526910277</v>
      </c>
      <c r="M6" s="1">
        <v>3453</v>
      </c>
      <c r="N6" s="1">
        <f t="shared" si="5"/>
        <v>199.20544431264312</v>
      </c>
      <c r="O6" s="1">
        <v>6000</v>
      </c>
      <c r="P6" s="6">
        <f t="shared" si="6"/>
        <v>362264.82359700371</v>
      </c>
      <c r="Q6" t="str">
        <f t="shared" si="7"/>
        <v>Not Approved</v>
      </c>
    </row>
    <row r="7" spans="1:17" x14ac:dyDescent="0.2">
      <c r="A7" t="s">
        <v>71</v>
      </c>
      <c r="B7" t="s">
        <v>61</v>
      </c>
      <c r="C7" t="s">
        <v>3</v>
      </c>
      <c r="D7" s="1">
        <v>38042888</v>
      </c>
      <c r="E7" s="1">
        <f t="shared" si="0"/>
        <v>951072.20000000007</v>
      </c>
      <c r="F7" s="1">
        <v>100</v>
      </c>
      <c r="G7" s="1">
        <f t="shared" si="1"/>
        <v>38993960.200000003</v>
      </c>
      <c r="H7" s="1">
        <f t="shared" si="2"/>
        <v>38994060.200000003</v>
      </c>
      <c r="I7" s="1">
        <f>VLOOKUP(C7,Table4[#All],2,1)</f>
        <v>350000</v>
      </c>
      <c r="J7" t="str">
        <f t="shared" si="3"/>
        <v>Qualified</v>
      </c>
      <c r="K7" s="1">
        <v>381101</v>
      </c>
      <c r="L7" s="1">
        <f t="shared" si="4"/>
        <v>7582.2691913688077</v>
      </c>
      <c r="M7" s="1">
        <v>360</v>
      </c>
      <c r="N7" s="1">
        <f t="shared" si="5"/>
        <v>20.768595410527521</v>
      </c>
      <c r="O7" s="1">
        <v>6004</v>
      </c>
      <c r="P7" s="6">
        <f t="shared" si="6"/>
        <v>395068.03778677934</v>
      </c>
      <c r="Q7" t="str">
        <f t="shared" si="7"/>
        <v>Not Approved</v>
      </c>
    </row>
    <row r="8" spans="1:17" x14ac:dyDescent="0.2">
      <c r="A8" t="s">
        <v>74</v>
      </c>
      <c r="B8" t="s">
        <v>64</v>
      </c>
      <c r="C8" t="s">
        <v>3</v>
      </c>
      <c r="D8" s="1">
        <v>7911740</v>
      </c>
      <c r="E8" s="1">
        <f t="shared" si="0"/>
        <v>197793.5</v>
      </c>
      <c r="F8" s="1">
        <v>100</v>
      </c>
      <c r="G8" s="1">
        <f t="shared" si="1"/>
        <v>8109533.5</v>
      </c>
      <c r="H8" s="1">
        <f t="shared" si="2"/>
        <v>8109633.5</v>
      </c>
      <c r="I8" s="1">
        <f>VLOOKUP(C8,Table4[#All],2,1)</f>
        <v>350000</v>
      </c>
      <c r="J8" t="str">
        <f t="shared" si="3"/>
        <v>Qualified</v>
      </c>
      <c r="K8" s="1">
        <v>390404</v>
      </c>
      <c r="L8" s="1">
        <f t="shared" si="4"/>
        <v>7767.3588402737014</v>
      </c>
      <c r="M8" s="1">
        <v>363</v>
      </c>
      <c r="N8" s="1">
        <f t="shared" si="5"/>
        <v>20.94166703894858</v>
      </c>
      <c r="O8" s="1">
        <v>6007</v>
      </c>
      <c r="P8" s="6">
        <f t="shared" si="6"/>
        <v>404562.30050731264</v>
      </c>
      <c r="Q8" t="str">
        <f t="shared" si="7"/>
        <v>Not Approved</v>
      </c>
    </row>
    <row r="9" spans="1:17" x14ac:dyDescent="0.2">
      <c r="A9" t="s">
        <v>15</v>
      </c>
      <c r="B9" t="s">
        <v>33</v>
      </c>
      <c r="C9" t="s">
        <v>3</v>
      </c>
      <c r="D9" s="1">
        <v>100000</v>
      </c>
      <c r="E9" s="1">
        <f t="shared" si="0"/>
        <v>2500</v>
      </c>
      <c r="F9" s="1">
        <v>100</v>
      </c>
      <c r="G9" s="1">
        <f t="shared" si="1"/>
        <v>102500</v>
      </c>
      <c r="H9" s="1">
        <f t="shared" si="2"/>
        <v>102600</v>
      </c>
      <c r="I9" s="1">
        <f>VLOOKUP(C9,Table4[#All],2,1)</f>
        <v>350000</v>
      </c>
      <c r="J9" t="str">
        <f t="shared" si="3"/>
        <v>Not Qualified</v>
      </c>
      <c r="K9" s="1">
        <v>500000</v>
      </c>
      <c r="L9" s="1">
        <f t="shared" si="4"/>
        <v>9947.8474097008511</v>
      </c>
      <c r="M9" s="1">
        <v>23423</v>
      </c>
      <c r="N9" s="1">
        <f t="shared" si="5"/>
        <v>1351.2855841688502</v>
      </c>
      <c r="O9" s="1">
        <v>6000</v>
      </c>
      <c r="P9" s="6">
        <f t="shared" si="6"/>
        <v>540722.13299386972</v>
      </c>
      <c r="Q9" t="str">
        <f t="shared" si="7"/>
        <v>Approved</v>
      </c>
    </row>
    <row r="10" spans="1:17" x14ac:dyDescent="0.2">
      <c r="A10" t="s">
        <v>28</v>
      </c>
      <c r="B10" t="s">
        <v>46</v>
      </c>
      <c r="C10" t="s">
        <v>3</v>
      </c>
      <c r="D10" s="1">
        <v>3656846</v>
      </c>
      <c r="E10" s="1">
        <f t="shared" si="0"/>
        <v>91421.150000000009</v>
      </c>
      <c r="F10" s="1">
        <v>100</v>
      </c>
      <c r="G10" s="1">
        <f t="shared" si="1"/>
        <v>3748267.15</v>
      </c>
      <c r="H10" s="1">
        <f t="shared" si="2"/>
        <v>3748367.15</v>
      </c>
      <c r="I10" s="1">
        <f>VLOOKUP(C10,Table4[#All],2,1)</f>
        <v>350000</v>
      </c>
      <c r="J10" t="str">
        <f t="shared" si="3"/>
        <v>Qualified</v>
      </c>
      <c r="K10" s="1">
        <v>526000</v>
      </c>
      <c r="L10" s="1">
        <f t="shared" si="4"/>
        <v>10465.135475005294</v>
      </c>
      <c r="M10" s="1">
        <v>35673</v>
      </c>
      <c r="N10" s="1">
        <f t="shared" si="5"/>
        <v>2057.9947335548563</v>
      </c>
      <c r="O10" s="1">
        <v>6000</v>
      </c>
      <c r="P10" s="6">
        <f t="shared" si="6"/>
        <v>580196.13020856015</v>
      </c>
      <c r="Q10" t="str">
        <f t="shared" si="7"/>
        <v>Not Approved</v>
      </c>
    </row>
    <row r="11" spans="1:17" x14ac:dyDescent="0.2">
      <c r="A11" t="s">
        <v>31</v>
      </c>
      <c r="B11" t="s">
        <v>48</v>
      </c>
      <c r="C11" t="s">
        <v>3</v>
      </c>
      <c r="D11" s="1">
        <v>2037593</v>
      </c>
      <c r="E11" s="1">
        <f t="shared" si="0"/>
        <v>50939.825000000004</v>
      </c>
      <c r="F11" s="1">
        <v>100</v>
      </c>
      <c r="G11" s="1">
        <f t="shared" si="1"/>
        <v>2088532.825</v>
      </c>
      <c r="H11" s="1">
        <f t="shared" si="2"/>
        <v>2088632.825</v>
      </c>
      <c r="I11" s="1">
        <f>VLOOKUP(C11,Table4[#All],2,1)</f>
        <v>350000</v>
      </c>
      <c r="J11" t="str">
        <f t="shared" si="3"/>
        <v>Qualified</v>
      </c>
      <c r="K11" s="1">
        <v>532000</v>
      </c>
      <c r="L11" s="1">
        <f t="shared" si="4"/>
        <v>10584.509643921705</v>
      </c>
      <c r="M11" s="1">
        <v>3567</v>
      </c>
      <c r="N11" s="1">
        <f t="shared" si="5"/>
        <v>205.7821661926435</v>
      </c>
      <c r="O11" s="1">
        <v>6000</v>
      </c>
      <c r="P11" s="6">
        <f t="shared" si="6"/>
        <v>552357.2918101144</v>
      </c>
      <c r="Q11" t="str">
        <f t="shared" si="7"/>
        <v>Not Approved</v>
      </c>
    </row>
    <row r="12" spans="1:17" x14ac:dyDescent="0.2">
      <c r="A12" t="s">
        <v>27</v>
      </c>
      <c r="B12" t="s">
        <v>45</v>
      </c>
      <c r="C12" t="s">
        <v>4</v>
      </c>
      <c r="D12" s="1">
        <v>9090000</v>
      </c>
      <c r="E12" s="1">
        <f t="shared" si="0"/>
        <v>227250</v>
      </c>
      <c r="F12" s="1">
        <v>100</v>
      </c>
      <c r="G12" s="1">
        <f t="shared" si="1"/>
        <v>9317250</v>
      </c>
      <c r="H12" s="1">
        <f t="shared" si="2"/>
        <v>9317350</v>
      </c>
      <c r="I12" s="1">
        <f>VLOOKUP(C12,Table4[#All],2,1)</f>
        <v>300000</v>
      </c>
      <c r="J12" t="str">
        <f t="shared" si="3"/>
        <v>Qualified</v>
      </c>
      <c r="K12" s="1">
        <v>34564</v>
      </c>
      <c r="L12" s="1">
        <f t="shared" si="4"/>
        <v>687.67479573780042</v>
      </c>
      <c r="M12" s="1">
        <v>5467</v>
      </c>
      <c r="N12" s="1">
        <f t="shared" si="5"/>
        <v>315.3941975259832</v>
      </c>
      <c r="O12" s="1">
        <v>6000</v>
      </c>
      <c r="P12" s="6">
        <f t="shared" si="6"/>
        <v>47034.068993263783</v>
      </c>
      <c r="Q12" t="str">
        <f t="shared" si="7"/>
        <v>Not Approved</v>
      </c>
    </row>
    <row r="13" spans="1:17" x14ac:dyDescent="0.2">
      <c r="A13" t="s">
        <v>24</v>
      </c>
      <c r="B13" t="s">
        <v>42</v>
      </c>
      <c r="C13" t="s">
        <v>4</v>
      </c>
      <c r="D13" s="1">
        <v>29352935</v>
      </c>
      <c r="E13" s="1">
        <f t="shared" si="0"/>
        <v>733823.375</v>
      </c>
      <c r="F13" s="1">
        <v>100</v>
      </c>
      <c r="G13" s="1">
        <f t="shared" si="1"/>
        <v>30086758.375</v>
      </c>
      <c r="H13" s="1">
        <f t="shared" si="2"/>
        <v>30086858.375</v>
      </c>
      <c r="I13" s="1">
        <f>VLOOKUP(C13,Table4[#All],2,1)</f>
        <v>300000</v>
      </c>
      <c r="J13" t="str">
        <f t="shared" si="3"/>
        <v>Qualified</v>
      </c>
      <c r="K13" s="1">
        <v>345634</v>
      </c>
      <c r="L13" s="1">
        <f t="shared" si="4"/>
        <v>6876.628583209088</v>
      </c>
      <c r="M13" s="1">
        <v>5673</v>
      </c>
      <c r="N13" s="1">
        <f t="shared" si="5"/>
        <v>327.2784493442295</v>
      </c>
      <c r="O13" s="1">
        <v>6000</v>
      </c>
      <c r="P13" s="6">
        <f t="shared" si="6"/>
        <v>364510.90703255328</v>
      </c>
      <c r="Q13" t="str">
        <f t="shared" si="7"/>
        <v>Not Approved</v>
      </c>
    </row>
    <row r="14" spans="1:17" x14ac:dyDescent="0.2">
      <c r="A14" t="s">
        <v>69</v>
      </c>
      <c r="B14" t="s">
        <v>59</v>
      </c>
      <c r="C14" t="s">
        <v>4</v>
      </c>
      <c r="D14" s="1">
        <v>23640770</v>
      </c>
      <c r="E14" s="1">
        <f t="shared" si="0"/>
        <v>591019.25</v>
      </c>
      <c r="F14" s="1">
        <v>100</v>
      </c>
      <c r="G14" s="1">
        <f t="shared" si="1"/>
        <v>24231789.25</v>
      </c>
      <c r="H14" s="1">
        <f t="shared" si="2"/>
        <v>24231889.25</v>
      </c>
      <c r="I14" s="1">
        <f>VLOOKUP(C14,Table4[#All],2,1)</f>
        <v>300000</v>
      </c>
      <c r="J14" t="str">
        <f t="shared" si="3"/>
        <v>Qualified</v>
      </c>
      <c r="K14" s="1">
        <v>374899</v>
      </c>
      <c r="L14" s="1">
        <f t="shared" si="4"/>
        <v>7458.876092098878</v>
      </c>
      <c r="M14" s="1">
        <v>358</v>
      </c>
      <c r="N14" s="1">
        <f t="shared" si="5"/>
        <v>20.653214324913478</v>
      </c>
      <c r="O14" s="1">
        <v>6002</v>
      </c>
      <c r="P14" s="6">
        <f t="shared" si="6"/>
        <v>388738.52930642379</v>
      </c>
      <c r="Q14" t="str">
        <f t="shared" si="7"/>
        <v>Not Approved</v>
      </c>
    </row>
    <row r="15" spans="1:17" x14ac:dyDescent="0.2">
      <c r="A15" t="s">
        <v>70</v>
      </c>
      <c r="B15" t="s">
        <v>60</v>
      </c>
      <c r="C15" t="s">
        <v>4</v>
      </c>
      <c r="D15" s="1">
        <v>30841829</v>
      </c>
      <c r="E15" s="1">
        <f t="shared" si="0"/>
        <v>771045.72500000009</v>
      </c>
      <c r="F15" s="1">
        <v>100</v>
      </c>
      <c r="G15" s="1">
        <f t="shared" si="1"/>
        <v>31612874.725000001</v>
      </c>
      <c r="H15" s="1">
        <f t="shared" si="2"/>
        <v>31612974.725000001</v>
      </c>
      <c r="I15" s="1">
        <f>VLOOKUP(C15,Table4[#All],2,1)</f>
        <v>300000</v>
      </c>
      <c r="J15" t="str">
        <f t="shared" si="3"/>
        <v>Qualified</v>
      </c>
      <c r="K15" s="1">
        <v>378000</v>
      </c>
      <c r="L15" s="1">
        <f t="shared" si="4"/>
        <v>7520.5726417338437</v>
      </c>
      <c r="M15" s="1">
        <v>359</v>
      </c>
      <c r="N15" s="1">
        <f t="shared" si="5"/>
        <v>20.710904867720501</v>
      </c>
      <c r="O15" s="1">
        <v>6003</v>
      </c>
      <c r="P15" s="6">
        <f t="shared" si="6"/>
        <v>391903.2835466016</v>
      </c>
      <c r="Q15" t="str">
        <f t="shared" si="7"/>
        <v>Not Approved</v>
      </c>
    </row>
    <row r="16" spans="1:17" x14ac:dyDescent="0.2">
      <c r="A16" t="s">
        <v>75</v>
      </c>
      <c r="B16" t="s">
        <v>65</v>
      </c>
      <c r="C16" t="s">
        <v>4</v>
      </c>
      <c r="D16" s="1">
        <v>8335782</v>
      </c>
      <c r="E16" s="1">
        <f t="shared" si="0"/>
        <v>208394.55000000002</v>
      </c>
      <c r="F16" s="1">
        <v>100</v>
      </c>
      <c r="G16" s="1">
        <f t="shared" si="1"/>
        <v>8544176.5500000007</v>
      </c>
      <c r="H16" s="1">
        <f t="shared" si="2"/>
        <v>8544276.5500000007</v>
      </c>
      <c r="I16" s="1">
        <f>VLOOKUP(C16,Table4[#All],2,1)</f>
        <v>300000</v>
      </c>
      <c r="J16" t="str">
        <f t="shared" si="3"/>
        <v>Qualified</v>
      </c>
      <c r="K16" s="1">
        <v>393505</v>
      </c>
      <c r="L16" s="1">
        <f t="shared" si="4"/>
        <v>7829.0553899086663</v>
      </c>
      <c r="M16" s="1">
        <v>364</v>
      </c>
      <c r="N16" s="1">
        <f t="shared" si="5"/>
        <v>20.9993575817556</v>
      </c>
      <c r="O16" s="1">
        <v>6008</v>
      </c>
      <c r="P16" s="6">
        <f t="shared" si="6"/>
        <v>407727.05474749045</v>
      </c>
      <c r="Q16" t="str">
        <f t="shared" si="7"/>
        <v>Not Approved</v>
      </c>
    </row>
    <row r="17" spans="1:17" x14ac:dyDescent="0.2">
      <c r="A17" t="s">
        <v>77</v>
      </c>
      <c r="B17" t="s">
        <v>67</v>
      </c>
      <c r="C17" t="s">
        <v>4</v>
      </c>
      <c r="D17" s="1">
        <v>9183866</v>
      </c>
      <c r="E17" s="1">
        <f t="shared" si="0"/>
        <v>229596.65000000002</v>
      </c>
      <c r="F17" s="1">
        <v>100</v>
      </c>
      <c r="G17" s="1">
        <f t="shared" si="1"/>
        <v>9413462.6500000004</v>
      </c>
      <c r="H17" s="1">
        <f t="shared" si="2"/>
        <v>9413562.6500000004</v>
      </c>
      <c r="I17" s="1">
        <f>VLOOKUP(C17,Table4[#All],2,1)</f>
        <v>300000</v>
      </c>
      <c r="J17" t="str">
        <f t="shared" si="3"/>
        <v>Qualified</v>
      </c>
      <c r="K17" s="1">
        <v>399707</v>
      </c>
      <c r="L17" s="1">
        <f t="shared" si="4"/>
        <v>7952.4484891785951</v>
      </c>
      <c r="M17" s="1">
        <v>366</v>
      </c>
      <c r="N17" s="1">
        <f t="shared" si="5"/>
        <v>21.114738667369647</v>
      </c>
      <c r="O17" s="1">
        <v>6010</v>
      </c>
      <c r="P17" s="6">
        <f t="shared" si="6"/>
        <v>414056.563227846</v>
      </c>
      <c r="Q17" t="str">
        <f t="shared" si="7"/>
        <v>Not Approved</v>
      </c>
    </row>
    <row r="18" spans="1:17" x14ac:dyDescent="0.2">
      <c r="A18" t="s">
        <v>78</v>
      </c>
      <c r="B18" t="s">
        <v>68</v>
      </c>
      <c r="C18" t="s">
        <v>4</v>
      </c>
      <c r="D18" s="1">
        <v>9607908</v>
      </c>
      <c r="E18" s="1">
        <f t="shared" si="0"/>
        <v>240197.7</v>
      </c>
      <c r="F18" s="1">
        <v>100</v>
      </c>
      <c r="G18" s="1">
        <f t="shared" si="1"/>
        <v>9848105.6999999993</v>
      </c>
      <c r="H18" s="1">
        <f t="shared" si="2"/>
        <v>9848205.6999999993</v>
      </c>
      <c r="I18" s="1">
        <f>VLOOKUP(C18,Table4[#All],2,1)</f>
        <v>300000</v>
      </c>
      <c r="J18" t="str">
        <f t="shared" si="3"/>
        <v>Qualified</v>
      </c>
      <c r="K18" s="1">
        <v>402808</v>
      </c>
      <c r="L18" s="1">
        <f t="shared" si="4"/>
        <v>8014.1450388135609</v>
      </c>
      <c r="M18" s="1">
        <v>367</v>
      </c>
      <c r="N18" s="1">
        <f t="shared" si="5"/>
        <v>21.172429210176666</v>
      </c>
      <c r="O18" s="1">
        <v>6011</v>
      </c>
      <c r="P18" s="6">
        <f t="shared" si="6"/>
        <v>417221.31746802374</v>
      </c>
      <c r="Q18" t="str">
        <f t="shared" si="7"/>
        <v>Not Approved</v>
      </c>
    </row>
    <row r="19" spans="1:17" x14ac:dyDescent="0.2">
      <c r="A19" t="s">
        <v>26</v>
      </c>
      <c r="B19" t="s">
        <v>44</v>
      </c>
      <c r="C19" t="s">
        <v>4</v>
      </c>
      <c r="D19" s="1">
        <v>100000</v>
      </c>
      <c r="E19" s="1">
        <f t="shared" si="0"/>
        <v>2500</v>
      </c>
      <c r="F19" s="1">
        <v>100</v>
      </c>
      <c r="G19" s="1">
        <f t="shared" si="1"/>
        <v>102500</v>
      </c>
      <c r="H19" s="1">
        <f t="shared" si="2"/>
        <v>102600</v>
      </c>
      <c r="I19" s="1">
        <f>VLOOKUP(C19,Table4[#All],2,1)</f>
        <v>300000</v>
      </c>
      <c r="J19" t="str">
        <f t="shared" si="3"/>
        <v>Not Qualified</v>
      </c>
      <c r="K19" s="1">
        <v>522000</v>
      </c>
      <c r="L19" s="1">
        <f t="shared" si="4"/>
        <v>10385.552695727689</v>
      </c>
      <c r="M19" s="1">
        <v>567</v>
      </c>
      <c r="N19" s="1">
        <f t="shared" si="5"/>
        <v>32.710537771580846</v>
      </c>
      <c r="O19" s="1">
        <v>6000</v>
      </c>
      <c r="P19" s="6">
        <f t="shared" si="6"/>
        <v>538985.26323349925</v>
      </c>
      <c r="Q19" t="str">
        <f t="shared" si="7"/>
        <v>Approved</v>
      </c>
    </row>
    <row r="20" spans="1:17" x14ac:dyDescent="0.2">
      <c r="A20" t="s">
        <v>32</v>
      </c>
      <c r="B20" t="s">
        <v>49</v>
      </c>
      <c r="C20" t="s">
        <v>4</v>
      </c>
      <c r="D20" s="1">
        <v>9238652</v>
      </c>
      <c r="E20" s="1">
        <f t="shared" si="0"/>
        <v>230966.30000000002</v>
      </c>
      <c r="F20" s="1">
        <v>100</v>
      </c>
      <c r="G20" s="1">
        <f t="shared" si="1"/>
        <v>9469618.3000000007</v>
      </c>
      <c r="H20" s="1">
        <f t="shared" si="2"/>
        <v>9469718.3000000007</v>
      </c>
      <c r="I20" s="1">
        <f>VLOOKUP(C20,Table4[#All],2,1)</f>
        <v>300000</v>
      </c>
      <c r="J20" t="str">
        <f t="shared" si="3"/>
        <v>Qualified</v>
      </c>
      <c r="K20" s="1">
        <v>534000</v>
      </c>
      <c r="L20" s="1">
        <f t="shared" si="4"/>
        <v>10624.301033560509</v>
      </c>
      <c r="M20" s="1">
        <v>356</v>
      </c>
      <c r="N20" s="1">
        <f t="shared" si="5"/>
        <v>20.537833239299434</v>
      </c>
      <c r="O20" s="1">
        <v>6000</v>
      </c>
      <c r="P20" s="6">
        <f t="shared" si="6"/>
        <v>551000.83886679984</v>
      </c>
      <c r="Q20" t="str">
        <f t="shared" si="7"/>
        <v>Not Approved</v>
      </c>
    </row>
    <row r="21" spans="1:17" x14ac:dyDescent="0.2">
      <c r="A21" t="s">
        <v>22</v>
      </c>
      <c r="B21" t="s">
        <v>40</v>
      </c>
      <c r="C21" t="s">
        <v>5</v>
      </c>
      <c r="D21" s="1">
        <v>22000000</v>
      </c>
      <c r="E21" s="1">
        <f t="shared" si="0"/>
        <v>550000</v>
      </c>
      <c r="F21" s="1">
        <v>100</v>
      </c>
      <c r="G21" s="1">
        <f t="shared" si="1"/>
        <v>22550000</v>
      </c>
      <c r="H21" s="1">
        <f t="shared" si="2"/>
        <v>22550100</v>
      </c>
      <c r="I21" s="1">
        <f>VLOOKUP(C21,Table4[#All],2,1)</f>
        <v>250000</v>
      </c>
      <c r="J21" t="str">
        <f t="shared" si="3"/>
        <v>Qualified</v>
      </c>
      <c r="K21" s="1">
        <v>34674</v>
      </c>
      <c r="L21" s="1">
        <f t="shared" si="4"/>
        <v>689.8633221679346</v>
      </c>
      <c r="M21" s="1">
        <v>45745</v>
      </c>
      <c r="N21" s="1">
        <f t="shared" si="5"/>
        <v>2639.0538807071703</v>
      </c>
      <c r="O21" s="1">
        <v>6000</v>
      </c>
      <c r="P21" s="6">
        <f t="shared" si="6"/>
        <v>89747.917202875105</v>
      </c>
      <c r="Q21" t="str">
        <f t="shared" si="7"/>
        <v>Not Approved</v>
      </c>
    </row>
    <row r="22" spans="1:17" x14ac:dyDescent="0.2">
      <c r="A22" t="s">
        <v>29</v>
      </c>
      <c r="B22" t="s">
        <v>47</v>
      </c>
      <c r="C22" t="s">
        <v>5</v>
      </c>
      <c r="D22" s="1">
        <v>100000</v>
      </c>
      <c r="E22" s="1">
        <f t="shared" si="0"/>
        <v>2500</v>
      </c>
      <c r="F22" s="1">
        <v>100</v>
      </c>
      <c r="G22" s="1">
        <f t="shared" si="1"/>
        <v>102500</v>
      </c>
      <c r="H22" s="1">
        <f t="shared" si="2"/>
        <v>102600</v>
      </c>
      <c r="I22" s="1">
        <f>VLOOKUP(C22,Table4[#All],2,1)</f>
        <v>250000</v>
      </c>
      <c r="J22" t="str">
        <f t="shared" si="3"/>
        <v>Not Qualified</v>
      </c>
      <c r="K22" s="1">
        <v>345645</v>
      </c>
      <c r="L22" s="1">
        <f t="shared" si="4"/>
        <v>6876.8474358521007</v>
      </c>
      <c r="M22" s="1">
        <v>567</v>
      </c>
      <c r="N22" s="1">
        <f t="shared" si="5"/>
        <v>32.710537771580846</v>
      </c>
      <c r="O22" s="1">
        <v>6000</v>
      </c>
      <c r="P22" s="6">
        <f t="shared" si="6"/>
        <v>359121.55797362368</v>
      </c>
      <c r="Q22" t="str">
        <f t="shared" si="7"/>
        <v>Approved</v>
      </c>
    </row>
    <row r="23" spans="1:17" x14ac:dyDescent="0.2">
      <c r="A23" t="s">
        <v>25</v>
      </c>
      <c r="B23" t="s">
        <v>43</v>
      </c>
      <c r="C23" t="s">
        <v>5</v>
      </c>
      <c r="D23" s="1">
        <v>100000</v>
      </c>
      <c r="E23" s="1">
        <f t="shared" si="0"/>
        <v>2500</v>
      </c>
      <c r="F23" s="1">
        <v>100</v>
      </c>
      <c r="G23" s="1">
        <f t="shared" si="1"/>
        <v>102500</v>
      </c>
      <c r="H23" s="1">
        <f t="shared" si="2"/>
        <v>102600</v>
      </c>
      <c r="I23" s="1">
        <f>VLOOKUP(C23,Table4[#All],2,1)</f>
        <v>250000</v>
      </c>
      <c r="J23" t="str">
        <f t="shared" si="3"/>
        <v>Not Qualified</v>
      </c>
      <c r="K23" s="1">
        <v>345646</v>
      </c>
      <c r="L23" s="1">
        <f t="shared" si="4"/>
        <v>6876.8673315469205</v>
      </c>
      <c r="M23" s="1">
        <v>3567</v>
      </c>
      <c r="N23" s="1">
        <f t="shared" si="5"/>
        <v>205.7821661926435</v>
      </c>
      <c r="O23" s="1">
        <v>6000</v>
      </c>
      <c r="P23" s="6">
        <f t="shared" si="6"/>
        <v>362295.64949773956</v>
      </c>
      <c r="Q23" t="str">
        <f t="shared" si="7"/>
        <v>Approved</v>
      </c>
    </row>
    <row r="24" spans="1:17" x14ac:dyDescent="0.2">
      <c r="A24" t="s">
        <v>72</v>
      </c>
      <c r="B24" t="s">
        <v>62</v>
      </c>
      <c r="C24" t="s">
        <v>5</v>
      </c>
      <c r="D24" s="1">
        <v>7063656</v>
      </c>
      <c r="E24" s="1">
        <f t="shared" si="0"/>
        <v>176591.40000000002</v>
      </c>
      <c r="F24" s="1">
        <v>100</v>
      </c>
      <c r="G24" s="1">
        <f t="shared" si="1"/>
        <v>7240247.4000000004</v>
      </c>
      <c r="H24" s="1">
        <f t="shared" si="2"/>
        <v>7240347.4000000004</v>
      </c>
      <c r="I24" s="1">
        <f>VLOOKUP(C24,Table4[#All],2,1)</f>
        <v>250000</v>
      </c>
      <c r="J24" t="str">
        <f t="shared" si="3"/>
        <v>Qualified</v>
      </c>
      <c r="K24" s="1">
        <v>384202</v>
      </c>
      <c r="L24" s="1">
        <f t="shared" si="4"/>
        <v>7643.9657410037726</v>
      </c>
      <c r="M24" s="1">
        <v>361</v>
      </c>
      <c r="N24" s="1">
        <f t="shared" si="5"/>
        <v>20.826285953334541</v>
      </c>
      <c r="O24" s="1">
        <v>6005</v>
      </c>
      <c r="P24" s="6">
        <f t="shared" si="6"/>
        <v>398232.79202695709</v>
      </c>
      <c r="Q24" t="str">
        <f t="shared" si="7"/>
        <v>Not Approved</v>
      </c>
    </row>
    <row r="25" spans="1:17" x14ac:dyDescent="0.2">
      <c r="A25" t="s">
        <v>73</v>
      </c>
      <c r="B25" t="s">
        <v>63</v>
      </c>
      <c r="C25" t="s">
        <v>5</v>
      </c>
      <c r="D25" s="1">
        <v>7487698</v>
      </c>
      <c r="E25" s="1">
        <f t="shared" si="0"/>
        <v>187192.45</v>
      </c>
      <c r="F25" s="1">
        <v>100</v>
      </c>
      <c r="G25" s="1">
        <f t="shared" si="1"/>
        <v>7674890.4500000002</v>
      </c>
      <c r="H25" s="1">
        <f t="shared" si="2"/>
        <v>7674990.4500000002</v>
      </c>
      <c r="I25" s="1">
        <f>VLOOKUP(C25,Table4[#All],2,1)</f>
        <v>250000</v>
      </c>
      <c r="J25" t="str">
        <f t="shared" si="3"/>
        <v>Qualified</v>
      </c>
      <c r="K25" s="1">
        <v>387303</v>
      </c>
      <c r="L25" s="1">
        <f t="shared" si="4"/>
        <v>7705.6622906387374</v>
      </c>
      <c r="M25" s="1">
        <v>362</v>
      </c>
      <c r="N25" s="1">
        <f t="shared" si="5"/>
        <v>20.88397649614156</v>
      </c>
      <c r="O25" s="1">
        <v>6006</v>
      </c>
      <c r="P25" s="6">
        <f t="shared" si="6"/>
        <v>401397.54626713484</v>
      </c>
      <c r="Q25" t="str">
        <f t="shared" si="7"/>
        <v>Not Approved</v>
      </c>
    </row>
    <row r="26" spans="1:17" x14ac:dyDescent="0.2">
      <c r="A26" t="s">
        <v>76</v>
      </c>
      <c r="B26" t="s">
        <v>66</v>
      </c>
      <c r="C26" t="s">
        <v>5</v>
      </c>
      <c r="D26" s="1">
        <v>8759824</v>
      </c>
      <c r="E26" s="1">
        <f t="shared" si="0"/>
        <v>218995.6</v>
      </c>
      <c r="F26" s="1">
        <v>100</v>
      </c>
      <c r="G26" s="1">
        <f t="shared" si="1"/>
        <v>8978819.5999999996</v>
      </c>
      <c r="H26" s="1">
        <f t="shared" si="2"/>
        <v>8978919.5999999996</v>
      </c>
      <c r="I26" s="1">
        <f>VLOOKUP(C26,Table4[#All],2,1)</f>
        <v>250000</v>
      </c>
      <c r="J26" t="str">
        <f t="shared" si="3"/>
        <v>Qualified</v>
      </c>
      <c r="K26" s="1">
        <v>396606</v>
      </c>
      <c r="L26" s="1">
        <f t="shared" si="4"/>
        <v>7890.7519395436311</v>
      </c>
      <c r="M26" s="1">
        <v>365</v>
      </c>
      <c r="N26" s="1">
        <f t="shared" si="5"/>
        <v>21.057048124562627</v>
      </c>
      <c r="O26" s="1">
        <v>6009</v>
      </c>
      <c r="P26" s="6">
        <f t="shared" si="6"/>
        <v>410891.80898766819</v>
      </c>
      <c r="Q26" t="str">
        <f t="shared" si="7"/>
        <v>Not Approved</v>
      </c>
    </row>
    <row r="27" spans="1:17" x14ac:dyDescent="0.2">
      <c r="A27" t="s">
        <v>18</v>
      </c>
      <c r="B27" t="s">
        <v>36</v>
      </c>
      <c r="C27" t="s">
        <v>5</v>
      </c>
      <c r="D27" s="1">
        <v>24624363</v>
      </c>
      <c r="E27" s="1">
        <f t="shared" si="0"/>
        <v>615609.07500000007</v>
      </c>
      <c r="F27" s="1">
        <v>100</v>
      </c>
      <c r="G27" s="1">
        <f t="shared" si="1"/>
        <v>25239972.074999999</v>
      </c>
      <c r="H27" s="1">
        <f t="shared" si="2"/>
        <v>25240072.074999999</v>
      </c>
      <c r="I27" s="1">
        <f>VLOOKUP(C27,Table4[#All],2,1)</f>
        <v>250000</v>
      </c>
      <c r="J27" t="str">
        <f t="shared" si="3"/>
        <v>Qualified</v>
      </c>
      <c r="K27" s="1">
        <v>435734</v>
      </c>
      <c r="L27" s="1">
        <f t="shared" si="4"/>
        <v>8669.2306864371803</v>
      </c>
      <c r="M27" s="1">
        <v>34534</v>
      </c>
      <c r="N27" s="1">
        <f t="shared" si="5"/>
        <v>1992.2852052976593</v>
      </c>
      <c r="O27" s="1">
        <v>6000</v>
      </c>
      <c r="P27" s="6">
        <f t="shared" si="6"/>
        <v>486929.5158917348</v>
      </c>
      <c r="Q27" t="str">
        <f t="shared" si="7"/>
        <v>Not Approved</v>
      </c>
    </row>
    <row r="28" spans="1:17" x14ac:dyDescent="0.2">
      <c r="A28" t="s">
        <v>17</v>
      </c>
      <c r="B28" t="s">
        <v>35</v>
      </c>
      <c r="C28" t="s">
        <v>5</v>
      </c>
      <c r="D28" s="1">
        <v>23523624</v>
      </c>
      <c r="E28" s="1">
        <f t="shared" si="0"/>
        <v>588090.6</v>
      </c>
      <c r="F28" s="1">
        <v>100</v>
      </c>
      <c r="G28" s="1">
        <f t="shared" si="1"/>
        <v>24111714.600000001</v>
      </c>
      <c r="H28" s="1">
        <f t="shared" si="2"/>
        <v>24111814.600000001</v>
      </c>
      <c r="I28" s="1">
        <f>VLOOKUP(C28,Table4[#All],2,1)</f>
        <v>250000</v>
      </c>
      <c r="J28" t="str">
        <f t="shared" si="3"/>
        <v>Qualified</v>
      </c>
      <c r="K28" s="1">
        <v>504000</v>
      </c>
      <c r="L28" s="1">
        <f t="shared" si="4"/>
        <v>10027.430188978456</v>
      </c>
      <c r="M28" s="1">
        <v>657</v>
      </c>
      <c r="N28" s="1">
        <f t="shared" si="5"/>
        <v>37.90268662421272</v>
      </c>
      <c r="O28" s="1">
        <v>6000</v>
      </c>
      <c r="P28" s="6">
        <f t="shared" si="6"/>
        <v>520722.33287560265</v>
      </c>
      <c r="Q28" t="str">
        <f t="shared" si="7"/>
        <v>Not Approved</v>
      </c>
    </row>
    <row r="29" spans="1:17" x14ac:dyDescent="0.2">
      <c r="A29" t="s">
        <v>21</v>
      </c>
      <c r="B29" t="s">
        <v>39</v>
      </c>
      <c r="C29" t="s">
        <v>5</v>
      </c>
      <c r="D29" s="1">
        <v>100000</v>
      </c>
      <c r="E29" s="1">
        <f t="shared" si="0"/>
        <v>2500</v>
      </c>
      <c r="F29" s="1">
        <v>100</v>
      </c>
      <c r="G29" s="1">
        <f t="shared" si="1"/>
        <v>102500</v>
      </c>
      <c r="H29" s="1">
        <f t="shared" si="2"/>
        <v>102600</v>
      </c>
      <c r="I29" s="1">
        <f>VLOOKUP(C29,Table4[#All],2,1)</f>
        <v>250000</v>
      </c>
      <c r="J29" t="str">
        <f t="shared" si="3"/>
        <v>Not Qualified</v>
      </c>
      <c r="K29" s="1">
        <v>512000</v>
      </c>
      <c r="L29" s="1">
        <f t="shared" si="4"/>
        <v>10186.595747533671</v>
      </c>
      <c r="M29" s="1">
        <v>45645</v>
      </c>
      <c r="N29" s="1">
        <f t="shared" si="5"/>
        <v>2633.2848264264685</v>
      </c>
      <c r="O29" s="1">
        <v>6000</v>
      </c>
      <c r="P29" s="6">
        <f t="shared" si="6"/>
        <v>576464.88057396014</v>
      </c>
      <c r="Q29" t="str">
        <f t="shared" si="7"/>
        <v>Approved</v>
      </c>
    </row>
    <row r="30" spans="1:17" x14ac:dyDescent="0.2">
      <c r="A30" t="s">
        <v>30</v>
      </c>
      <c r="B30" t="s">
        <v>48</v>
      </c>
      <c r="C30" t="s">
        <v>5</v>
      </c>
      <c r="D30" s="1">
        <v>4239846</v>
      </c>
      <c r="E30" s="1">
        <f t="shared" si="0"/>
        <v>105996.15000000001</v>
      </c>
      <c r="F30" s="1">
        <v>100</v>
      </c>
      <c r="G30" s="1">
        <f t="shared" si="1"/>
        <v>4345842.1500000004</v>
      </c>
      <c r="H30" s="1">
        <f t="shared" si="2"/>
        <v>4345942.1500000004</v>
      </c>
      <c r="I30" s="1">
        <f>VLOOKUP(C30,Table4[#All],2,1)</f>
        <v>250000</v>
      </c>
      <c r="J30" t="str">
        <f t="shared" si="3"/>
        <v>Qualified</v>
      </c>
      <c r="K30" s="1">
        <v>530000</v>
      </c>
      <c r="L30" s="1">
        <f t="shared" si="4"/>
        <v>10544.718254282901</v>
      </c>
      <c r="M30" s="1">
        <v>3567</v>
      </c>
      <c r="N30" s="1">
        <f t="shared" si="5"/>
        <v>205.7821661926435</v>
      </c>
      <c r="O30" s="1">
        <v>6000</v>
      </c>
      <c r="P30" s="6">
        <f t="shared" si="6"/>
        <v>550317.50042047561</v>
      </c>
      <c r="Q30" t="str">
        <f t="shared" si="7"/>
        <v>Not Approved</v>
      </c>
    </row>
    <row r="31" spans="1:17" x14ac:dyDescent="0.2">
      <c r="A31" t="s">
        <v>19</v>
      </c>
      <c r="B31" t="s">
        <v>58</v>
      </c>
      <c r="C31" t="s">
        <v>5</v>
      </c>
      <c r="D31" s="1">
        <v>16439711</v>
      </c>
      <c r="E31" s="1">
        <f t="shared" si="0"/>
        <v>410992.77500000002</v>
      </c>
      <c r="F31" s="1">
        <v>100</v>
      </c>
      <c r="G31" s="1">
        <f t="shared" si="1"/>
        <v>16850703.774999999</v>
      </c>
      <c r="H31" s="1">
        <f t="shared" si="2"/>
        <v>16850803.774999999</v>
      </c>
      <c r="I31" s="1">
        <f>VLOOKUP(C31,Table4[#All],2,1)</f>
        <v>250000</v>
      </c>
      <c r="J31" t="str">
        <f t="shared" si="3"/>
        <v>Qualified</v>
      </c>
      <c r="K31" s="1">
        <v>534001</v>
      </c>
      <c r="L31" s="1">
        <f t="shared" si="4"/>
        <v>10624.320929255329</v>
      </c>
      <c r="M31" s="1">
        <v>357</v>
      </c>
      <c r="N31" s="1">
        <f t="shared" si="5"/>
        <v>20.595523782106454</v>
      </c>
      <c r="O31" s="1">
        <v>6001</v>
      </c>
      <c r="P31" s="6">
        <f t="shared" si="6"/>
        <v>551003.91645303741</v>
      </c>
      <c r="Q31" t="str">
        <f t="shared" si="7"/>
        <v>Not Approved</v>
      </c>
    </row>
    <row r="32" spans="1:17" x14ac:dyDescent="0.2">
      <c r="A32" t="s">
        <v>79</v>
      </c>
      <c r="B32" t="s">
        <v>80</v>
      </c>
      <c r="C32" t="s">
        <v>5</v>
      </c>
      <c r="D32" s="1">
        <v>9607909</v>
      </c>
      <c r="E32" s="1">
        <f t="shared" ref="E32" si="8">(D32*0.025)</f>
        <v>240197.72500000001</v>
      </c>
      <c r="F32" s="1">
        <v>101</v>
      </c>
      <c r="G32" s="1">
        <f t="shared" si="1"/>
        <v>9848106.7249999996</v>
      </c>
      <c r="H32" s="1">
        <f t="shared" si="2"/>
        <v>9848207.7249999996</v>
      </c>
      <c r="I32" s="1">
        <f>VLOOKUP(C32,Table4[#All],2,1)</f>
        <v>250000</v>
      </c>
      <c r="J32" t="str">
        <f t="shared" si="3"/>
        <v>Qualified</v>
      </c>
      <c r="K32" s="1">
        <v>402809</v>
      </c>
      <c r="L32" s="1">
        <f t="shared" ref="L32" si="9">PMT(0.006,60,-K32,0,0)</f>
        <v>8014.1649345083806</v>
      </c>
      <c r="M32" s="1">
        <v>368</v>
      </c>
      <c r="N32" s="1">
        <f t="shared" ref="N32" si="10">PMT(0.004,18,-M32,0,0)</f>
        <v>21.230119752983686</v>
      </c>
      <c r="O32" s="1">
        <v>6012</v>
      </c>
      <c r="P32" s="6">
        <f t="shared" ref="P32" si="11">SUM(K32:O32)</f>
        <v>417224.39505426137</v>
      </c>
      <c r="Q32" t="str">
        <f t="shared" ref="Q32" si="12">IF(P32&gt;(H32*0.5),"Approved", "Not Approved")</f>
        <v>Not Approved</v>
      </c>
    </row>
    <row r="35" spans="3:15" x14ac:dyDescent="0.2">
      <c r="D35" t="s">
        <v>3</v>
      </c>
      <c r="E35" s="6">
        <f>SUM(H3:H11)</f>
        <v>80948769.275000006</v>
      </c>
    </row>
    <row r="36" spans="3:15" x14ac:dyDescent="0.2">
      <c r="C36" s="1"/>
      <c r="D36" s="1" t="s">
        <v>4</v>
      </c>
      <c r="E36" s="6">
        <f>SUM(H12:H20)</f>
        <v>132627435.55</v>
      </c>
      <c r="F36" s="1"/>
      <c r="G36" s="1"/>
      <c r="H36" s="1"/>
      <c r="J36" s="1"/>
      <c r="K36" s="1"/>
      <c r="L36" s="1"/>
      <c r="M36" s="5"/>
      <c r="N36" s="1"/>
      <c r="O36" s="6"/>
    </row>
    <row r="37" spans="3:15" x14ac:dyDescent="0.2">
      <c r="D37" t="s">
        <v>5</v>
      </c>
      <c r="E37" s="6">
        <f>SUM(H21:H32)</f>
        <v>127148997.77500001</v>
      </c>
    </row>
  </sheetData>
  <sortState xmlns:xlrd2="http://schemas.microsoft.com/office/spreadsheetml/2017/richdata2" ref="A3:R31">
    <sortCondition ref="C3:C31"/>
    <sortCondition ref="K3:K3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A070-F1D3-40DA-A795-02E5758BBF33}">
  <dimension ref="A1:Q23"/>
  <sheetViews>
    <sheetView workbookViewId="0">
      <selection activeCell="A3" sqref="A3"/>
    </sheetView>
  </sheetViews>
  <sheetFormatPr defaultRowHeight="15" x14ac:dyDescent="0.2"/>
  <cols>
    <col min="1" max="1" width="10.625" bestFit="1" customWidth="1"/>
    <col min="2" max="2" width="10.22265625" bestFit="1" customWidth="1"/>
    <col min="3" max="3" width="19.1015625" bestFit="1" customWidth="1"/>
    <col min="4" max="4" width="14.2578125" bestFit="1" customWidth="1"/>
    <col min="5" max="5" width="20.984375" bestFit="1" customWidth="1"/>
    <col min="6" max="6" width="14.2578125" bestFit="1" customWidth="1"/>
    <col min="7" max="7" width="16.140625" bestFit="1" customWidth="1"/>
    <col min="8" max="8" width="14.2578125" bestFit="1" customWidth="1"/>
    <col min="9" max="10" width="16.140625" bestFit="1" customWidth="1"/>
    <col min="11" max="11" width="17.75390625" bestFit="1" customWidth="1"/>
    <col min="12" max="12" width="23.80859375" bestFit="1" customWidth="1"/>
    <col min="13" max="13" width="23.40625" bestFit="1" customWidth="1"/>
    <col min="14" max="14" width="29.7265625" bestFit="1" customWidth="1"/>
    <col min="15" max="15" width="17.890625" bestFit="1" customWidth="1"/>
    <col min="16" max="16" width="19.37109375" bestFit="1" customWidth="1"/>
    <col min="17" max="17" width="14.9296875" bestFit="1" customWidth="1"/>
  </cols>
  <sheetData>
    <row r="1" spans="1:1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0</v>
      </c>
      <c r="J1" t="s">
        <v>14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</row>
    <row r="2" spans="1:17" x14ac:dyDescent="0.2">
      <c r="A2" t="str" cm="1">
        <f t="array" ref="A2:P23">_xlfn._xlws.FILTER('Applicant Details'!A3:P31,'Applicant Details'!H3:H31&gt;700000)</f>
        <v>Bart</v>
      </c>
      <c r="B2" t="str">
        <v>Politik</v>
      </c>
      <c r="C2" t="str">
        <v>FHD</v>
      </c>
      <c r="D2" s="8">
        <v>24653636</v>
      </c>
      <c r="E2" s="7">
        <v>616340.9</v>
      </c>
      <c r="F2" s="7">
        <v>100</v>
      </c>
      <c r="G2" s="7">
        <v>25269976.899999999</v>
      </c>
      <c r="H2" s="7">
        <v>25270076.899999999</v>
      </c>
      <c r="I2" s="7">
        <v>350000</v>
      </c>
      <c r="J2" t="str">
        <v>Qualified</v>
      </c>
      <c r="K2" s="7">
        <v>345643</v>
      </c>
      <c r="L2" s="7">
        <v>6876.807644462463</v>
      </c>
      <c r="M2" s="7">
        <v>3673</v>
      </c>
      <c r="N2" s="7">
        <v>211.89736373018772</v>
      </c>
      <c r="O2" s="7">
        <v>6000</v>
      </c>
      <c r="P2" s="7">
        <v>362404.70500819263</v>
      </c>
    </row>
    <row r="3" spans="1:17" x14ac:dyDescent="0.2">
      <c r="A3" t="str">
        <v>Dave</v>
      </c>
      <c r="B3" t="str">
        <v>Johannes</v>
      </c>
      <c r="C3" t="str">
        <v>FHD</v>
      </c>
      <c r="D3" s="8">
        <v>2235266</v>
      </c>
      <c r="E3" s="7">
        <v>55881.65</v>
      </c>
      <c r="F3" s="7">
        <v>100</v>
      </c>
      <c r="G3" s="7">
        <v>2291147.65</v>
      </c>
      <c r="H3" s="7">
        <v>2291247.65</v>
      </c>
      <c r="I3" s="7">
        <v>350000</v>
      </c>
      <c r="J3" t="str">
        <v>Qualified</v>
      </c>
      <c r="K3" s="7">
        <v>345734</v>
      </c>
      <c r="L3" s="7">
        <v>6878.6181526910277</v>
      </c>
      <c r="M3" s="7">
        <v>3453</v>
      </c>
      <c r="N3" s="7">
        <v>199.20544431264312</v>
      </c>
      <c r="O3" s="7">
        <v>6000</v>
      </c>
      <c r="P3" s="7">
        <v>362264.82359700371</v>
      </c>
    </row>
    <row r="4" spans="1:17" x14ac:dyDescent="0.2">
      <c r="A4" t="str">
        <v>May</v>
      </c>
      <c r="B4" t="str">
        <v>Molior</v>
      </c>
      <c r="C4" t="str">
        <v>FHD</v>
      </c>
      <c r="D4" s="8">
        <v>38042888</v>
      </c>
      <c r="E4" s="7">
        <v>951072.20000000007</v>
      </c>
      <c r="F4" s="7">
        <v>100</v>
      </c>
      <c r="G4" s="7">
        <v>38993960.200000003</v>
      </c>
      <c r="H4" s="7">
        <v>38994060.200000003</v>
      </c>
      <c r="I4" s="7">
        <v>350000</v>
      </c>
      <c r="J4" t="str">
        <v>Qualified</v>
      </c>
      <c r="K4" s="7">
        <v>381101</v>
      </c>
      <c r="L4" s="7">
        <v>7582.2691913688077</v>
      </c>
      <c r="M4" s="7">
        <v>360</v>
      </c>
      <c r="N4" s="7">
        <v>20.768595410527521</v>
      </c>
      <c r="O4" s="7">
        <v>6004</v>
      </c>
      <c r="P4" s="7">
        <v>395068.03778677934</v>
      </c>
    </row>
    <row r="5" spans="1:17" x14ac:dyDescent="0.2">
      <c r="A5" t="str">
        <v>Kim</v>
      </c>
      <c r="B5" t="str">
        <v>Flakeson</v>
      </c>
      <c r="C5" t="str">
        <v>FHD</v>
      </c>
      <c r="D5" s="8">
        <v>7911740</v>
      </c>
      <c r="E5" s="7">
        <v>197793.5</v>
      </c>
      <c r="F5" s="7">
        <v>100</v>
      </c>
      <c r="G5" s="7">
        <v>8109533.5</v>
      </c>
      <c r="H5" s="7">
        <v>8109633.5</v>
      </c>
      <c r="I5" s="7">
        <v>350000</v>
      </c>
      <c r="J5" t="str">
        <v>Qualified</v>
      </c>
      <c r="K5" s="7">
        <v>390404</v>
      </c>
      <c r="L5" s="7">
        <v>7767.3588402737014</v>
      </c>
      <c r="M5" s="7">
        <v>363</v>
      </c>
      <c r="N5" s="7">
        <v>20.94166703894858</v>
      </c>
      <c r="O5" s="7">
        <v>6007</v>
      </c>
      <c r="P5" s="7">
        <v>404562.30050731264</v>
      </c>
    </row>
    <row r="6" spans="1:17" x14ac:dyDescent="0.2">
      <c r="A6" t="str">
        <v>Leroy</v>
      </c>
      <c r="B6" t="str">
        <v>Ham</v>
      </c>
      <c r="C6" t="str">
        <v>FHD</v>
      </c>
      <c r="D6" s="8">
        <v>3656846</v>
      </c>
      <c r="E6" s="7">
        <v>91421.150000000009</v>
      </c>
      <c r="F6" s="7">
        <v>100</v>
      </c>
      <c r="G6" s="7">
        <v>3748267.15</v>
      </c>
      <c r="H6" s="7">
        <v>3748367.15</v>
      </c>
      <c r="I6" s="7">
        <v>350000</v>
      </c>
      <c r="J6" t="str">
        <v>Qualified</v>
      </c>
      <c r="K6" s="7">
        <v>526000</v>
      </c>
      <c r="L6" s="7">
        <v>10465.135475005294</v>
      </c>
      <c r="M6" s="7">
        <v>35673</v>
      </c>
      <c r="N6" s="7">
        <v>2057.9947335548563</v>
      </c>
      <c r="O6" s="7">
        <v>6000</v>
      </c>
      <c r="P6" s="7">
        <v>580196.13020856015</v>
      </c>
    </row>
    <row r="7" spans="1:17" x14ac:dyDescent="0.2">
      <c r="A7" t="str">
        <v>Terry</v>
      </c>
      <c r="B7" t="str">
        <v>Thompson</v>
      </c>
      <c r="C7" t="str">
        <v>FHD</v>
      </c>
      <c r="D7" s="8">
        <v>2037593</v>
      </c>
      <c r="E7" s="7">
        <v>50939.825000000004</v>
      </c>
      <c r="F7" s="7">
        <v>100</v>
      </c>
      <c r="G7" s="7">
        <v>2088532.825</v>
      </c>
      <c r="H7" s="7">
        <v>2088632.825</v>
      </c>
      <c r="I7" s="7">
        <v>350000</v>
      </c>
      <c r="J7" t="str">
        <v>Qualified</v>
      </c>
      <c r="K7" s="7">
        <v>532000</v>
      </c>
      <c r="L7" s="7">
        <v>10584.509643921705</v>
      </c>
      <c r="M7" s="7">
        <v>3567</v>
      </c>
      <c r="N7" s="7">
        <v>205.7821661926435</v>
      </c>
      <c r="O7" s="7">
        <v>6000</v>
      </c>
      <c r="P7" s="7">
        <v>552357.2918101144</v>
      </c>
    </row>
    <row r="8" spans="1:17" x14ac:dyDescent="0.2">
      <c r="A8" t="str">
        <v>Buios</v>
      </c>
      <c r="B8" t="str">
        <v>jone</v>
      </c>
      <c r="C8" t="str">
        <v>HHD</v>
      </c>
      <c r="D8" s="8">
        <v>9090000</v>
      </c>
      <c r="E8" s="7">
        <v>227250</v>
      </c>
      <c r="F8" s="7">
        <v>100</v>
      </c>
      <c r="G8" s="7">
        <v>9317250</v>
      </c>
      <c r="H8" s="7">
        <v>9317350</v>
      </c>
      <c r="I8" s="7">
        <v>300000</v>
      </c>
      <c r="J8" t="str">
        <v>Qualified</v>
      </c>
      <c r="K8" s="7">
        <v>34564</v>
      </c>
      <c r="L8" s="7">
        <v>687.67479573780042</v>
      </c>
      <c r="M8" s="7">
        <v>5467</v>
      </c>
      <c r="N8" s="7">
        <v>315.3941975259832</v>
      </c>
      <c r="O8" s="7">
        <v>6000</v>
      </c>
      <c r="P8" s="7">
        <v>47034.068993263783</v>
      </c>
    </row>
    <row r="9" spans="1:17" x14ac:dyDescent="0.2">
      <c r="A9" t="str">
        <v>Sue</v>
      </c>
      <c r="B9" t="str">
        <v>Jues</v>
      </c>
      <c r="C9" t="str">
        <v>HHD</v>
      </c>
      <c r="D9" s="8">
        <v>29352935</v>
      </c>
      <c r="E9" s="7">
        <v>733823.375</v>
      </c>
      <c r="F9" s="7">
        <v>100</v>
      </c>
      <c r="G9" s="7">
        <v>30086758.375</v>
      </c>
      <c r="H9" s="7">
        <v>30086858.375</v>
      </c>
      <c r="I9" s="7">
        <v>300000</v>
      </c>
      <c r="J9" t="str">
        <v>Qualified</v>
      </c>
      <c r="K9" s="7">
        <v>345634</v>
      </c>
      <c r="L9" s="7">
        <v>6876.628583209088</v>
      </c>
      <c r="M9" s="7">
        <v>5673</v>
      </c>
      <c r="N9" s="7">
        <v>327.2784493442295</v>
      </c>
      <c r="O9" s="7">
        <v>6000</v>
      </c>
      <c r="P9" s="7">
        <v>364510.90703255328</v>
      </c>
    </row>
    <row r="10" spans="1:17" x14ac:dyDescent="0.2">
      <c r="A10" t="str">
        <v>Berry</v>
      </c>
      <c r="B10" t="str">
        <v>Mjar</v>
      </c>
      <c r="C10" t="str">
        <v>HHD</v>
      </c>
      <c r="D10" s="8">
        <v>23640770</v>
      </c>
      <c r="E10" s="7">
        <v>591019.25</v>
      </c>
      <c r="F10" s="7">
        <v>100</v>
      </c>
      <c r="G10" s="7">
        <v>24231789.25</v>
      </c>
      <c r="H10" s="7">
        <v>24231889.25</v>
      </c>
      <c r="I10" s="7">
        <v>300000</v>
      </c>
      <c r="J10" t="str">
        <v>Qualified</v>
      </c>
      <c r="K10" s="7">
        <v>374899</v>
      </c>
      <c r="L10" s="7">
        <v>7458.876092098878</v>
      </c>
      <c r="M10" s="7">
        <v>358</v>
      </c>
      <c r="N10" s="7">
        <v>20.653214324913478</v>
      </c>
      <c r="O10" s="7">
        <v>6002</v>
      </c>
      <c r="P10" s="7">
        <v>388738.52930642379</v>
      </c>
    </row>
    <row r="11" spans="1:17" x14ac:dyDescent="0.2">
      <c r="A11" t="str">
        <v>June</v>
      </c>
      <c r="B11" t="str">
        <v>Lokus</v>
      </c>
      <c r="C11" t="str">
        <v>HHD</v>
      </c>
      <c r="D11" s="8">
        <v>30841829</v>
      </c>
      <c r="E11" s="7">
        <v>771045.72500000009</v>
      </c>
      <c r="F11" s="7">
        <v>100</v>
      </c>
      <c r="G11" s="7">
        <v>31612874.725000001</v>
      </c>
      <c r="H11" s="7">
        <v>31612974.725000001</v>
      </c>
      <c r="I11" s="7">
        <v>300000</v>
      </c>
      <c r="J11" t="str">
        <v>Qualified</v>
      </c>
      <c r="K11" s="7">
        <v>378000</v>
      </c>
      <c r="L11" s="7">
        <v>7520.5726417338437</v>
      </c>
      <c r="M11" s="7">
        <v>359</v>
      </c>
      <c r="N11" s="7">
        <v>20.710904867720501</v>
      </c>
      <c r="O11" s="7">
        <v>6003</v>
      </c>
      <c r="P11" s="7">
        <v>391903.2835466016</v>
      </c>
    </row>
    <row r="12" spans="1:17" x14ac:dyDescent="0.2">
      <c r="A12" t="str">
        <v>Karl</v>
      </c>
      <c r="B12" t="str">
        <v>Yam</v>
      </c>
      <c r="C12" t="str">
        <v>HHD</v>
      </c>
      <c r="D12" s="8">
        <v>8335782</v>
      </c>
      <c r="E12" s="7">
        <v>208394.55000000002</v>
      </c>
      <c r="F12" s="7">
        <v>100</v>
      </c>
      <c r="G12" s="7">
        <v>8544176.5500000007</v>
      </c>
      <c r="H12" s="7">
        <v>8544276.5500000007</v>
      </c>
      <c r="I12" s="7">
        <v>300000</v>
      </c>
      <c r="J12" t="str">
        <v>Qualified</v>
      </c>
      <c r="K12" s="7">
        <v>393505</v>
      </c>
      <c r="L12" s="7">
        <v>7829.0553899086663</v>
      </c>
      <c r="M12" s="7">
        <v>364</v>
      </c>
      <c r="N12" s="7">
        <v>20.9993575817556</v>
      </c>
      <c r="O12" s="7">
        <v>6008</v>
      </c>
      <c r="P12" s="7">
        <v>407727.05474749045</v>
      </c>
    </row>
    <row r="13" spans="1:17" x14ac:dyDescent="0.2">
      <c r="A13" t="str">
        <v>Ron</v>
      </c>
      <c r="B13" t="str">
        <v>Pickle</v>
      </c>
      <c r="C13" t="str">
        <v>HHD</v>
      </c>
      <c r="D13" s="7">
        <v>9183866</v>
      </c>
      <c r="E13" s="7">
        <v>229596.65000000002</v>
      </c>
      <c r="F13" s="7">
        <v>100</v>
      </c>
      <c r="G13" s="7">
        <v>9413462.6500000004</v>
      </c>
      <c r="H13" s="7">
        <v>9413562.6500000004</v>
      </c>
      <c r="I13" s="7">
        <v>300000</v>
      </c>
      <c r="J13" t="str">
        <v>Qualified</v>
      </c>
      <c r="K13" s="7">
        <v>399707</v>
      </c>
      <c r="L13" s="7">
        <v>7952.4484891785951</v>
      </c>
      <c r="M13" s="7">
        <v>366</v>
      </c>
      <c r="N13" s="7">
        <v>21.114738667369647</v>
      </c>
      <c r="O13" s="7">
        <v>6010</v>
      </c>
      <c r="P13" s="7">
        <v>414056.563227846</v>
      </c>
    </row>
    <row r="14" spans="1:17" x14ac:dyDescent="0.2">
      <c r="A14" t="str">
        <v>Jue</v>
      </c>
      <c r="B14" t="str">
        <v>Jack</v>
      </c>
      <c r="C14" t="str">
        <v>HHD</v>
      </c>
      <c r="D14" s="7">
        <v>9607908</v>
      </c>
      <c r="E14" s="7">
        <v>240197.7</v>
      </c>
      <c r="F14" s="7">
        <v>100</v>
      </c>
      <c r="G14" s="7">
        <v>9848105.6999999993</v>
      </c>
      <c r="H14" s="7">
        <v>9848205.6999999993</v>
      </c>
      <c r="I14" s="7">
        <v>300000</v>
      </c>
      <c r="J14" t="str">
        <v>Qualified</v>
      </c>
      <c r="K14" s="7">
        <v>402808</v>
      </c>
      <c r="L14" s="7">
        <v>8014.1450388135609</v>
      </c>
      <c r="M14" s="7">
        <v>367</v>
      </c>
      <c r="N14" s="7">
        <v>21.172429210176666</v>
      </c>
      <c r="O14" s="7">
        <v>6011</v>
      </c>
      <c r="P14" s="7">
        <v>417221.31746802374</v>
      </c>
    </row>
    <row r="15" spans="1:17" x14ac:dyDescent="0.2">
      <c r="A15" t="str">
        <v>John</v>
      </c>
      <c r="B15" t="str">
        <v>Jones</v>
      </c>
      <c r="C15" t="str">
        <v>HHD</v>
      </c>
      <c r="D15" s="7">
        <v>9238652</v>
      </c>
      <c r="E15" s="7">
        <v>230966.30000000002</v>
      </c>
      <c r="F15" s="7">
        <v>100</v>
      </c>
      <c r="G15" s="7">
        <v>9469618.3000000007</v>
      </c>
      <c r="H15" s="7">
        <v>9469718.3000000007</v>
      </c>
      <c r="I15" s="7">
        <v>300000</v>
      </c>
      <c r="J15" t="str">
        <v>Qualified</v>
      </c>
      <c r="K15" s="7">
        <v>534000</v>
      </c>
      <c r="L15" s="7">
        <v>10624.301033560509</v>
      </c>
      <c r="M15" s="7">
        <v>356</v>
      </c>
      <c r="N15" s="7">
        <v>20.537833239299434</v>
      </c>
      <c r="O15" s="7">
        <v>6000</v>
      </c>
      <c r="P15" s="7">
        <v>551000.83886679984</v>
      </c>
    </row>
    <row r="16" spans="1:17" x14ac:dyDescent="0.2">
      <c r="A16" t="str">
        <v>Simpson</v>
      </c>
      <c r="B16" t="str">
        <v>Kattaraks</v>
      </c>
      <c r="C16" t="str">
        <v>LPH</v>
      </c>
      <c r="D16" s="7">
        <v>22000000</v>
      </c>
      <c r="E16" s="7">
        <v>550000</v>
      </c>
      <c r="F16" s="7">
        <v>100</v>
      </c>
      <c r="G16" s="7">
        <v>22550000</v>
      </c>
      <c r="H16" s="7">
        <v>22550100</v>
      </c>
      <c r="I16" s="7">
        <v>250000</v>
      </c>
      <c r="J16" t="str">
        <v>Qualified</v>
      </c>
      <c r="K16" s="7">
        <v>34674</v>
      </c>
      <c r="L16" s="7">
        <v>689.8633221679346</v>
      </c>
      <c r="M16" s="7">
        <v>45745</v>
      </c>
      <c r="N16" s="7">
        <v>2639.0538807071703</v>
      </c>
      <c r="O16" s="7">
        <v>6000</v>
      </c>
      <c r="P16" s="7">
        <v>89747.917202875105</v>
      </c>
    </row>
    <row r="17" spans="1:16" x14ac:dyDescent="0.2">
      <c r="A17" t="str">
        <v>Holly</v>
      </c>
      <c r="B17" t="str">
        <v>Korn</v>
      </c>
      <c r="C17" t="str">
        <v>LPH</v>
      </c>
      <c r="D17" s="7">
        <v>7063656</v>
      </c>
      <c r="E17" s="7">
        <v>176591.40000000002</v>
      </c>
      <c r="F17" s="7">
        <v>100</v>
      </c>
      <c r="G17" s="7">
        <v>7240247.4000000004</v>
      </c>
      <c r="H17" s="7">
        <v>7240347.4000000004</v>
      </c>
      <c r="I17" s="7">
        <v>250000</v>
      </c>
      <c r="J17" t="str">
        <v>Qualified</v>
      </c>
      <c r="K17" s="7">
        <v>384202</v>
      </c>
      <c r="L17" s="7">
        <v>7643.9657410037726</v>
      </c>
      <c r="M17" s="7">
        <v>361</v>
      </c>
      <c r="N17" s="7">
        <v>20.826285953334541</v>
      </c>
      <c r="O17" s="7">
        <v>6005</v>
      </c>
      <c r="P17" s="7">
        <v>398232.79202695709</v>
      </c>
    </row>
    <row r="18" spans="1:16" x14ac:dyDescent="0.2">
      <c r="A18" t="str">
        <v>Eugene</v>
      </c>
      <c r="B18" t="str">
        <v>Marge</v>
      </c>
      <c r="C18" t="str">
        <v>LPH</v>
      </c>
      <c r="D18" s="7">
        <v>7487698</v>
      </c>
      <c r="E18" s="7">
        <v>187192.45</v>
      </c>
      <c r="F18" s="7">
        <v>100</v>
      </c>
      <c r="G18" s="7">
        <v>7674890.4500000002</v>
      </c>
      <c r="H18" s="7">
        <v>7674990.4500000002</v>
      </c>
      <c r="I18" s="7">
        <v>250000</v>
      </c>
      <c r="J18" t="str">
        <v>Qualified</v>
      </c>
      <c r="K18" s="7">
        <v>387303</v>
      </c>
      <c r="L18" s="7">
        <v>7705.6622906387374</v>
      </c>
      <c r="M18" s="7">
        <v>362</v>
      </c>
      <c r="N18" s="7">
        <v>20.88397649614156</v>
      </c>
      <c r="O18" s="7">
        <v>6006</v>
      </c>
      <c r="P18" s="7">
        <v>401397.54626713484</v>
      </c>
    </row>
    <row r="19" spans="1:16" x14ac:dyDescent="0.2">
      <c r="A19" t="str">
        <v>Jon</v>
      </c>
      <c r="B19" t="str">
        <v>Jam</v>
      </c>
      <c r="C19" t="str">
        <v>LPH</v>
      </c>
      <c r="D19" s="7">
        <v>8759824</v>
      </c>
      <c r="E19" s="7">
        <v>218995.6</v>
      </c>
      <c r="F19" s="7">
        <v>100</v>
      </c>
      <c r="G19" s="7">
        <v>8978819.5999999996</v>
      </c>
      <c r="H19" s="7">
        <v>8978919.5999999996</v>
      </c>
      <c r="I19" s="7">
        <v>250000</v>
      </c>
      <c r="J19" t="str">
        <v>Qualified</v>
      </c>
      <c r="K19" s="7">
        <v>396606</v>
      </c>
      <c r="L19" s="7">
        <v>7890.7519395436311</v>
      </c>
      <c r="M19" s="7">
        <v>365</v>
      </c>
      <c r="N19" s="7">
        <v>21.057048124562627</v>
      </c>
      <c r="O19" s="7">
        <v>6009</v>
      </c>
      <c r="P19" s="7">
        <v>410891.80898766819</v>
      </c>
    </row>
    <row r="20" spans="1:16" x14ac:dyDescent="0.2">
      <c r="A20" t="str">
        <v>Bamboo</v>
      </c>
      <c r="B20" t="str">
        <v>Namand</v>
      </c>
      <c r="C20" t="str">
        <v>LPH</v>
      </c>
      <c r="D20" s="7">
        <v>24624363</v>
      </c>
      <c r="E20" s="7">
        <v>615609.07500000007</v>
      </c>
      <c r="F20" s="7">
        <v>100</v>
      </c>
      <c r="G20" s="7">
        <v>25239972.074999999</v>
      </c>
      <c r="H20" s="7">
        <v>25240072.074999999</v>
      </c>
      <c r="I20" s="7">
        <v>250000</v>
      </c>
      <c r="J20" t="str">
        <v>Qualified</v>
      </c>
      <c r="K20" s="7">
        <v>435734</v>
      </c>
      <c r="L20" s="7">
        <v>8669.2306864371803</v>
      </c>
      <c r="M20" s="7">
        <v>34534</v>
      </c>
      <c r="N20" s="7">
        <v>1992.2852052976593</v>
      </c>
      <c r="O20" s="7">
        <v>6000</v>
      </c>
      <c r="P20" s="7">
        <v>486929.5158917348</v>
      </c>
    </row>
    <row r="21" spans="1:16" x14ac:dyDescent="0.2">
      <c r="A21" t="str">
        <v>Bambi</v>
      </c>
      <c r="B21" t="str">
        <v>Bartes</v>
      </c>
      <c r="C21" t="str">
        <v>LPH</v>
      </c>
      <c r="D21" s="7">
        <v>23523624</v>
      </c>
      <c r="E21" s="7">
        <v>588090.6</v>
      </c>
      <c r="F21" s="7">
        <v>100</v>
      </c>
      <c r="G21" s="7">
        <v>24111714.600000001</v>
      </c>
      <c r="H21" s="7">
        <v>24111814.600000001</v>
      </c>
      <c r="I21" s="7">
        <v>250000</v>
      </c>
      <c r="J21" t="str">
        <v>Qualified</v>
      </c>
      <c r="K21" s="7">
        <v>504000</v>
      </c>
      <c r="L21" s="7">
        <v>10027.430188978456</v>
      </c>
      <c r="M21" s="7">
        <v>657</v>
      </c>
      <c r="N21" s="7">
        <v>37.90268662421272</v>
      </c>
      <c r="O21" s="7">
        <v>6000</v>
      </c>
      <c r="P21" s="7">
        <v>520722.33287560265</v>
      </c>
    </row>
    <row r="22" spans="1:16" x14ac:dyDescent="0.2">
      <c r="A22" t="str">
        <v>Jerry</v>
      </c>
      <c r="B22" t="str">
        <v>Thompson</v>
      </c>
      <c r="C22" t="str">
        <v>LPH</v>
      </c>
      <c r="D22" s="7">
        <v>4239846</v>
      </c>
      <c r="E22" s="7">
        <v>105996.15000000001</v>
      </c>
      <c r="F22" s="7">
        <v>100</v>
      </c>
      <c r="G22" s="7">
        <v>4345842.1500000004</v>
      </c>
      <c r="H22" s="7">
        <v>4345942.1500000004</v>
      </c>
      <c r="I22" s="7">
        <v>250000</v>
      </c>
      <c r="J22" t="str">
        <v>Qualified</v>
      </c>
      <c r="K22" s="7">
        <v>530000</v>
      </c>
      <c r="L22" s="7">
        <v>10544.718254282901</v>
      </c>
      <c r="M22" s="7">
        <v>3567</v>
      </c>
      <c r="N22" s="7">
        <v>205.7821661926435</v>
      </c>
      <c r="O22" s="7">
        <v>6000</v>
      </c>
      <c r="P22" s="7">
        <v>550317.50042047561</v>
      </c>
    </row>
    <row r="23" spans="1:16" x14ac:dyDescent="0.2">
      <c r="A23" t="str">
        <v>Bart</v>
      </c>
      <c r="B23" t="str">
        <v>Bobbi</v>
      </c>
      <c r="C23" t="str">
        <v>LPH</v>
      </c>
      <c r="D23" s="7">
        <v>16439711</v>
      </c>
      <c r="E23" s="7">
        <v>410992.77500000002</v>
      </c>
      <c r="F23" s="7">
        <v>100</v>
      </c>
      <c r="G23" s="7">
        <v>16850703.774999999</v>
      </c>
      <c r="H23" s="7">
        <v>16850803.774999999</v>
      </c>
      <c r="I23" s="7">
        <v>250000</v>
      </c>
      <c r="J23" t="str">
        <v>Qualified</v>
      </c>
      <c r="K23" s="7">
        <v>534001</v>
      </c>
      <c r="L23" s="7">
        <v>10624.320929255329</v>
      </c>
      <c r="M23" s="7">
        <v>357</v>
      </c>
      <c r="N23" s="7">
        <v>20.595523782106454</v>
      </c>
      <c r="O23" s="7">
        <v>6001</v>
      </c>
      <c r="P23" s="7">
        <v>551003.91645303741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Diagramme</vt:lpstr>
      </vt:variant>
      <vt:variant>
        <vt:i4>1</vt:i4>
      </vt:variant>
    </vt:vector>
  </HeadingPairs>
  <TitlesOfParts>
    <vt:vector size="5" baseType="lpstr">
      <vt:lpstr>Qualifying Salary</vt:lpstr>
      <vt:lpstr>Applicant Details (2)</vt:lpstr>
      <vt:lpstr>Applicant Details</vt:lpstr>
      <vt:lpstr>Filtered</vt:lpstr>
      <vt:lpstr>Chart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Yohance Glasgow</dc:creator>
  <cp:lastModifiedBy>Yohance Glasgow</cp:lastModifiedBy>
  <dcterms:created xsi:type="dcterms:W3CDTF">2025-09-29T17:51:44Z</dcterms:created>
  <dcterms:modified xsi:type="dcterms:W3CDTF">2025-11-21T00:06:12Z</dcterms:modified>
</cp:coreProperties>
</file>